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1d38c11862653e/Desktop/Case Study/"/>
    </mc:Choice>
  </mc:AlternateContent>
  <xr:revisionPtr revIDLastSave="7" documentId="13_ncr:1_{EEE66E79-E72C-4F5E-A504-959A7BE159D1}" xr6:coauthVersionLast="47" xr6:coauthVersionMax="47" xr10:uidLastSave="{543C03A7-04BC-4EFA-ACDF-FB04949C8B17}"/>
  <bookViews>
    <workbookView xWindow="-120" yWindow="-120" windowWidth="20730" windowHeight="11160" xr2:uid="{ED3A725C-989D-4745-AB2D-44849D0D40B0}"/>
  </bookViews>
  <sheets>
    <sheet name="Communication" sheetId="30" r:id="rId1"/>
    <sheet name="Objective" sheetId="27" r:id="rId2"/>
    <sheet name="Obj 1" sheetId="18" r:id="rId3"/>
    <sheet name="Obj 2" sheetId="20" r:id="rId4"/>
    <sheet name="Obj 3" sheetId="21" r:id="rId5"/>
    <sheet name="Obj 4" sheetId="23" r:id="rId6"/>
    <sheet name="Obj 5" sheetId="26" r:id="rId7"/>
    <sheet name="Data Cleaning" sheetId="4" r:id="rId8"/>
    <sheet name="Main Data" sheetId="17" r:id="rId9"/>
    <sheet name="Raw Data" sheetId="2" r:id="rId10"/>
    <sheet name="Crude_oil_price" sheetId="16" r:id="rId11"/>
  </sheets>
  <definedNames>
    <definedName name="_xlchart.v1.0" hidden="1">'Obj 3'!$B$9:$B$21</definedName>
    <definedName name="_xlchart.v1.1" hidden="1">'Obj 3'!$Q$8</definedName>
    <definedName name="_xlchart.v1.10" hidden="1">'Obj 3'!$Q$8</definedName>
    <definedName name="_xlchart.v1.11" hidden="1">'Obj 3'!$Q$9:$Q$21</definedName>
    <definedName name="_xlchart.v1.2" hidden="1">'Obj 3'!$Q$9:$Q$21</definedName>
    <definedName name="_xlchart.v1.3" hidden="1">'Obj 3'!$B$9:$B$21</definedName>
    <definedName name="_xlchart.v1.4" hidden="1">'Obj 3'!$Q$8</definedName>
    <definedName name="_xlchart.v1.5" hidden="1">'Obj 3'!$Q$9:$Q$21</definedName>
    <definedName name="_xlchart.v1.6" hidden="1">'Obj 3'!$A$27:$A$39</definedName>
    <definedName name="_xlchart.v1.7" hidden="1">'Obj 3'!$B$26</definedName>
    <definedName name="_xlchart.v1.8" hidden="1">'Obj 3'!$B$27:$B$39</definedName>
    <definedName name="_xlchart.v1.9" hidden="1">'Obj 3'!$B$9:$B$21</definedName>
    <definedName name="ExternalData_1" localSheetId="10" hidden="1">Crude_oil_price!#REF!</definedName>
    <definedName name="ExternalData_1" localSheetId="9" hidden="1">'Raw Data'!$A$1:$AD$373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6" l="1"/>
  <c r="C7" i="26"/>
  <c r="C8" i="26"/>
  <c r="C9" i="26"/>
  <c r="C10" i="26"/>
  <c r="C11" i="26"/>
  <c r="C12" i="26"/>
  <c r="AI2" i="17"/>
  <c r="AI3" i="17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85" i="17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170" i="17"/>
  <c r="AI171" i="17"/>
  <c r="AI172" i="17"/>
  <c r="AI173" i="17"/>
  <c r="AI174" i="17"/>
  <c r="AI175" i="17"/>
  <c r="AI176" i="17"/>
  <c r="AI177" i="17"/>
  <c r="AI178" i="17"/>
  <c r="AI179" i="17"/>
  <c r="AI180" i="17"/>
  <c r="AI181" i="17"/>
  <c r="AI182" i="17"/>
  <c r="AI183" i="17"/>
  <c r="AI184" i="17"/>
  <c r="AI185" i="17"/>
  <c r="AI186" i="17"/>
  <c r="AI187" i="17"/>
  <c r="AI188" i="17"/>
  <c r="AI189" i="17"/>
  <c r="AI190" i="17"/>
  <c r="AI191" i="17"/>
  <c r="AI192" i="17"/>
  <c r="AI193" i="17"/>
  <c r="AI194" i="17"/>
  <c r="AI195" i="17"/>
  <c r="AI196" i="17"/>
  <c r="AI197" i="17"/>
  <c r="AI198" i="17"/>
  <c r="AI199" i="17"/>
  <c r="AI200" i="17"/>
  <c r="AI201" i="17"/>
  <c r="AI202" i="17"/>
  <c r="AI203" i="17"/>
  <c r="AI204" i="17"/>
  <c r="AI205" i="17"/>
  <c r="AI206" i="17"/>
  <c r="AI207" i="17"/>
  <c r="AI208" i="17"/>
  <c r="AI209" i="17"/>
  <c r="AI210" i="17"/>
  <c r="AI211" i="17"/>
  <c r="AI212" i="17"/>
  <c r="AI213" i="17"/>
  <c r="AI214" i="17"/>
  <c r="AI215" i="17"/>
  <c r="AI216" i="17"/>
  <c r="AI217" i="17"/>
  <c r="AI218" i="17"/>
  <c r="AI219" i="17"/>
  <c r="AI220" i="17"/>
  <c r="AI221" i="17"/>
  <c r="AI222" i="17"/>
  <c r="AI223" i="17"/>
  <c r="AI224" i="17"/>
  <c r="AI225" i="17"/>
  <c r="AI226" i="17"/>
  <c r="AI227" i="17"/>
  <c r="AI228" i="17"/>
  <c r="AI229" i="17"/>
  <c r="AI230" i="17"/>
  <c r="AI231" i="17"/>
  <c r="AI232" i="17"/>
  <c r="AI233" i="17"/>
  <c r="AI234" i="17"/>
  <c r="AI235" i="17"/>
  <c r="AI236" i="17"/>
  <c r="AI237" i="17"/>
  <c r="AI238" i="17"/>
  <c r="AI239" i="17"/>
  <c r="AI240" i="17"/>
  <c r="AI241" i="17"/>
  <c r="AI242" i="17"/>
  <c r="AI243" i="17"/>
  <c r="AI244" i="17"/>
  <c r="AI245" i="17"/>
  <c r="AI246" i="17"/>
  <c r="AI247" i="17"/>
  <c r="AI248" i="17"/>
  <c r="AI249" i="17"/>
  <c r="AI250" i="17"/>
  <c r="AI251" i="17"/>
  <c r="AI252" i="17"/>
  <c r="AI253" i="17"/>
  <c r="AI254" i="17"/>
  <c r="AI255" i="17"/>
  <c r="AI256" i="17"/>
  <c r="AI257" i="17"/>
  <c r="AI258" i="17"/>
  <c r="AI259" i="17"/>
  <c r="AI260" i="17"/>
  <c r="AI261" i="17"/>
  <c r="AI262" i="17"/>
  <c r="AI263" i="17"/>
  <c r="AI264" i="17"/>
  <c r="AI265" i="17"/>
  <c r="AI266" i="17"/>
  <c r="AI267" i="17"/>
  <c r="AI268" i="17"/>
  <c r="AI269" i="17"/>
  <c r="AI270" i="17"/>
  <c r="AI271" i="17"/>
  <c r="AI272" i="17"/>
  <c r="AI273" i="17"/>
  <c r="AI274" i="17"/>
  <c r="AI275" i="17"/>
  <c r="AI276" i="17"/>
  <c r="AI277" i="17"/>
  <c r="AI278" i="17"/>
  <c r="AI279" i="17"/>
  <c r="AI280" i="17"/>
  <c r="AI281" i="17"/>
  <c r="AI282" i="17"/>
  <c r="AI283" i="17"/>
  <c r="AI284" i="17"/>
  <c r="AI285" i="17"/>
  <c r="AI286" i="17"/>
  <c r="AI287" i="17"/>
  <c r="AI288" i="17"/>
  <c r="AI289" i="17"/>
  <c r="AI290" i="17"/>
  <c r="AI291" i="17"/>
  <c r="AI292" i="17"/>
  <c r="AI293" i="17"/>
  <c r="AI294" i="17"/>
  <c r="AI295" i="17"/>
  <c r="AI296" i="17"/>
  <c r="AI297" i="17"/>
  <c r="AI298" i="17"/>
  <c r="AI299" i="17"/>
  <c r="AI300" i="17"/>
  <c r="AI301" i="17"/>
  <c r="AI302" i="17"/>
  <c r="AI303" i="17"/>
  <c r="AI304" i="17"/>
  <c r="AI305" i="17"/>
  <c r="AI306" i="17"/>
  <c r="AI307" i="17"/>
  <c r="AI308" i="17"/>
  <c r="AI309" i="17"/>
  <c r="AI310" i="17"/>
  <c r="AI311" i="17"/>
  <c r="AI312" i="17"/>
  <c r="AI313" i="17"/>
  <c r="AI314" i="17"/>
  <c r="AI315" i="17"/>
  <c r="AI316" i="17"/>
  <c r="AI317" i="17"/>
  <c r="AI318" i="17"/>
  <c r="AI319" i="17"/>
  <c r="AI320" i="17"/>
  <c r="AI321" i="17"/>
  <c r="AI322" i="17"/>
  <c r="AI323" i="17"/>
  <c r="AI324" i="17"/>
  <c r="AI325" i="17"/>
  <c r="AI326" i="17"/>
  <c r="AI327" i="17"/>
  <c r="AI328" i="17"/>
  <c r="AI329" i="17"/>
  <c r="AI330" i="17"/>
  <c r="AI331" i="17"/>
  <c r="AI332" i="17"/>
  <c r="AI333" i="17"/>
  <c r="AI334" i="17"/>
  <c r="AI335" i="17"/>
  <c r="AI336" i="17"/>
  <c r="AI337" i="17"/>
  <c r="AI338" i="17"/>
  <c r="AI339" i="17"/>
  <c r="AI340" i="17"/>
  <c r="AI341" i="17"/>
  <c r="AI342" i="17"/>
  <c r="AI343" i="17"/>
  <c r="AI344" i="17"/>
  <c r="AI345" i="17"/>
  <c r="AI346" i="17"/>
  <c r="AI347" i="17"/>
  <c r="AI348" i="17"/>
  <c r="AI349" i="17"/>
  <c r="AI350" i="17"/>
  <c r="AI351" i="17"/>
  <c r="AI352" i="17"/>
  <c r="AI353" i="17"/>
  <c r="AI354" i="17"/>
  <c r="AI355" i="17"/>
  <c r="AI356" i="17"/>
  <c r="AI357" i="17"/>
  <c r="AI358" i="17"/>
  <c r="AI359" i="17"/>
  <c r="AI360" i="17"/>
  <c r="AI361" i="17"/>
  <c r="AI362" i="17"/>
  <c r="AI363" i="17"/>
  <c r="AI364" i="17"/>
  <c r="AI365" i="17"/>
  <c r="AI366" i="17"/>
  <c r="AI367" i="17"/>
  <c r="AI368" i="17"/>
  <c r="AI369" i="17"/>
  <c r="AI370" i="17"/>
  <c r="AI371" i="17"/>
  <c r="AI372" i="17"/>
  <c r="AI373" i="17"/>
  <c r="AH2" i="17"/>
  <c r="AH3" i="17"/>
  <c r="AH4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H183" i="17"/>
  <c r="AH184" i="17"/>
  <c r="AH185" i="17"/>
  <c r="AH186" i="17"/>
  <c r="AH187" i="17"/>
  <c r="AH188" i="17"/>
  <c r="AH189" i="17"/>
  <c r="AH190" i="17"/>
  <c r="AH191" i="17"/>
  <c r="AH192" i="17"/>
  <c r="AH193" i="17"/>
  <c r="AH194" i="17"/>
  <c r="AH195" i="17"/>
  <c r="AH196" i="17"/>
  <c r="AH197" i="17"/>
  <c r="AH198" i="17"/>
  <c r="AH199" i="17"/>
  <c r="AH200" i="17"/>
  <c r="AH201" i="17"/>
  <c r="AH202" i="17"/>
  <c r="AH203" i="17"/>
  <c r="AH204" i="17"/>
  <c r="AH205" i="17"/>
  <c r="AH206" i="17"/>
  <c r="AH207" i="17"/>
  <c r="AH208" i="17"/>
  <c r="AH209" i="17"/>
  <c r="AH210" i="17"/>
  <c r="AH211" i="17"/>
  <c r="AH212" i="17"/>
  <c r="AH213" i="17"/>
  <c r="AH214" i="17"/>
  <c r="AH215" i="17"/>
  <c r="AH216" i="17"/>
  <c r="AH217" i="17"/>
  <c r="AH218" i="17"/>
  <c r="AH219" i="17"/>
  <c r="AH220" i="17"/>
  <c r="AH221" i="17"/>
  <c r="AH222" i="17"/>
  <c r="AH223" i="17"/>
  <c r="AH224" i="17"/>
  <c r="AH225" i="17"/>
  <c r="AH226" i="17"/>
  <c r="AH227" i="17"/>
  <c r="AH228" i="17"/>
  <c r="AH229" i="17"/>
  <c r="AH230" i="17"/>
  <c r="AH231" i="17"/>
  <c r="AH232" i="17"/>
  <c r="AH233" i="17"/>
  <c r="AH234" i="17"/>
  <c r="AH235" i="17"/>
  <c r="AH236" i="17"/>
  <c r="AH237" i="17"/>
  <c r="AH238" i="17"/>
  <c r="AH239" i="17"/>
  <c r="AH240" i="17"/>
  <c r="AH241" i="17"/>
  <c r="AH242" i="17"/>
  <c r="AH243" i="17"/>
  <c r="AH244" i="17"/>
  <c r="AH245" i="17"/>
  <c r="AH246" i="17"/>
  <c r="AH247" i="17"/>
  <c r="AH248" i="17"/>
  <c r="AH249" i="17"/>
  <c r="AH250" i="17"/>
  <c r="AH251" i="17"/>
  <c r="AH252" i="17"/>
  <c r="AH253" i="17"/>
  <c r="AH254" i="17"/>
  <c r="AH255" i="17"/>
  <c r="AH256" i="17"/>
  <c r="AH257" i="17"/>
  <c r="AH258" i="17"/>
  <c r="AH259" i="17"/>
  <c r="AH260" i="17"/>
  <c r="AH261" i="17"/>
  <c r="AH262" i="17"/>
  <c r="AH263" i="17"/>
  <c r="AH264" i="17"/>
  <c r="AH265" i="17"/>
  <c r="AH266" i="17"/>
  <c r="AH267" i="17"/>
  <c r="AH268" i="17"/>
  <c r="AH269" i="17"/>
  <c r="AH270" i="17"/>
  <c r="AH271" i="17"/>
  <c r="AH272" i="17"/>
  <c r="AH273" i="17"/>
  <c r="AH274" i="17"/>
  <c r="AH275" i="17"/>
  <c r="AH276" i="17"/>
  <c r="AH277" i="17"/>
  <c r="AH278" i="17"/>
  <c r="AH279" i="17"/>
  <c r="AH280" i="17"/>
  <c r="AH281" i="17"/>
  <c r="AH282" i="17"/>
  <c r="AH283" i="17"/>
  <c r="AH284" i="17"/>
  <c r="AH285" i="17"/>
  <c r="AH286" i="17"/>
  <c r="AH287" i="17"/>
  <c r="AH288" i="17"/>
  <c r="AH289" i="17"/>
  <c r="AH290" i="17"/>
  <c r="AH291" i="17"/>
  <c r="AH292" i="17"/>
  <c r="AH293" i="17"/>
  <c r="AH294" i="17"/>
  <c r="AH295" i="17"/>
  <c r="AH296" i="17"/>
  <c r="AH297" i="17"/>
  <c r="AH298" i="17"/>
  <c r="AH299" i="17"/>
  <c r="AH300" i="17"/>
  <c r="AH301" i="17"/>
  <c r="AH302" i="17"/>
  <c r="AH303" i="17"/>
  <c r="AH304" i="17"/>
  <c r="AH305" i="17"/>
  <c r="AH306" i="17"/>
  <c r="AH307" i="17"/>
  <c r="AH308" i="17"/>
  <c r="AH309" i="17"/>
  <c r="AH310" i="17"/>
  <c r="AH311" i="17"/>
  <c r="AH312" i="17"/>
  <c r="AH313" i="17"/>
  <c r="AH314" i="17"/>
  <c r="AH315" i="17"/>
  <c r="AH316" i="17"/>
  <c r="AH317" i="17"/>
  <c r="AH318" i="17"/>
  <c r="AH319" i="17"/>
  <c r="AH320" i="17"/>
  <c r="AH321" i="17"/>
  <c r="AH322" i="17"/>
  <c r="AH323" i="17"/>
  <c r="AH324" i="17"/>
  <c r="AH325" i="17"/>
  <c r="AH326" i="17"/>
  <c r="AH327" i="17"/>
  <c r="AH328" i="17"/>
  <c r="AH329" i="17"/>
  <c r="AH330" i="17"/>
  <c r="AH331" i="17"/>
  <c r="AH332" i="17"/>
  <c r="AH333" i="17"/>
  <c r="AH334" i="17"/>
  <c r="AH335" i="17"/>
  <c r="AH336" i="17"/>
  <c r="AH337" i="17"/>
  <c r="AH338" i="17"/>
  <c r="AH339" i="17"/>
  <c r="AH340" i="17"/>
  <c r="AH341" i="17"/>
  <c r="AH342" i="17"/>
  <c r="AH343" i="17"/>
  <c r="AH344" i="17"/>
  <c r="AH345" i="17"/>
  <c r="AH346" i="17"/>
  <c r="AH347" i="17"/>
  <c r="AH348" i="17"/>
  <c r="AH349" i="17"/>
  <c r="AH350" i="17"/>
  <c r="AH351" i="17"/>
  <c r="AH352" i="17"/>
  <c r="AH353" i="17"/>
  <c r="AH354" i="17"/>
  <c r="AH355" i="17"/>
  <c r="AH356" i="17"/>
  <c r="AH357" i="17"/>
  <c r="AH358" i="17"/>
  <c r="AH359" i="17"/>
  <c r="AH360" i="17"/>
  <c r="AH361" i="17"/>
  <c r="AH362" i="17"/>
  <c r="AH363" i="17"/>
  <c r="AH364" i="17"/>
  <c r="AH365" i="17"/>
  <c r="AH366" i="17"/>
  <c r="AH367" i="17"/>
  <c r="AH368" i="17"/>
  <c r="AH369" i="17"/>
  <c r="AH370" i="17"/>
  <c r="AH371" i="17"/>
  <c r="AH372" i="17"/>
  <c r="AH373" i="17"/>
  <c r="D22" i="23"/>
  <c r="E22" i="23"/>
  <c r="D23" i="23"/>
  <c r="E23" i="23"/>
  <c r="D24" i="23"/>
  <c r="E24" i="23"/>
  <c r="D25" i="23"/>
  <c r="E25" i="23"/>
  <c r="C25" i="23"/>
  <c r="C24" i="23"/>
  <c r="C23" i="23"/>
  <c r="C22" i="23"/>
  <c r="D21" i="23"/>
  <c r="E21" i="23"/>
  <c r="C21" i="23"/>
  <c r="AG2" i="17" l="1"/>
  <c r="AG3" i="17"/>
  <c r="AG4" i="17"/>
  <c r="AG5" i="17"/>
  <c r="AG6" i="17"/>
  <c r="AG7" i="17"/>
  <c r="AG8" i="17"/>
  <c r="AG9" i="17"/>
  <c r="AG10" i="17"/>
  <c r="AG11" i="17"/>
  <c r="AG12" i="17"/>
  <c r="AG13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1" i="17"/>
  <c r="AG32" i="17"/>
  <c r="AG33" i="17"/>
  <c r="AG34" i="17"/>
  <c r="AG35" i="17"/>
  <c r="AG36" i="17"/>
  <c r="AG37" i="17"/>
  <c r="AG38" i="17"/>
  <c r="AG39" i="17"/>
  <c r="AG40" i="17"/>
  <c r="AG41" i="17"/>
  <c r="AG42" i="17"/>
  <c r="AG43" i="17"/>
  <c r="AG44" i="17"/>
  <c r="AG45" i="17"/>
  <c r="AG46" i="17"/>
  <c r="AG47" i="17"/>
  <c r="AG48" i="17"/>
  <c r="AG49" i="17"/>
  <c r="AG50" i="17"/>
  <c r="AG51" i="17"/>
  <c r="AG52" i="17"/>
  <c r="AG53" i="17"/>
  <c r="AG54" i="17"/>
  <c r="AG55" i="17"/>
  <c r="AG56" i="17"/>
  <c r="AG57" i="17"/>
  <c r="AG58" i="17"/>
  <c r="AG59" i="17"/>
  <c r="AG60" i="17"/>
  <c r="AG61" i="17"/>
  <c r="AG62" i="17"/>
  <c r="AG63" i="17"/>
  <c r="AG64" i="17"/>
  <c r="AG65" i="17"/>
  <c r="AG66" i="17"/>
  <c r="AG67" i="17"/>
  <c r="AG68" i="17"/>
  <c r="AG69" i="17"/>
  <c r="AG70" i="17"/>
  <c r="AG71" i="17"/>
  <c r="AG72" i="17"/>
  <c r="AG73" i="17"/>
  <c r="AG74" i="17"/>
  <c r="AG75" i="17"/>
  <c r="AG76" i="17"/>
  <c r="AG77" i="17"/>
  <c r="AG78" i="17"/>
  <c r="AG79" i="17"/>
  <c r="AG80" i="17"/>
  <c r="AG81" i="17"/>
  <c r="AG82" i="17"/>
  <c r="AG83" i="17"/>
  <c r="AG84" i="17"/>
  <c r="AG85" i="17"/>
  <c r="AG86" i="17"/>
  <c r="AG87" i="17"/>
  <c r="AG88" i="17"/>
  <c r="AG89" i="17"/>
  <c r="AG90" i="17"/>
  <c r="AG91" i="17"/>
  <c r="AG92" i="17"/>
  <c r="AG93" i="17"/>
  <c r="AG94" i="17"/>
  <c r="AG95" i="17"/>
  <c r="AG96" i="17"/>
  <c r="AG97" i="17"/>
  <c r="AG98" i="17"/>
  <c r="AG99" i="17"/>
  <c r="AG100" i="17"/>
  <c r="AG101" i="17"/>
  <c r="AG102" i="17"/>
  <c r="AG103" i="17"/>
  <c r="AG104" i="17"/>
  <c r="AG105" i="17"/>
  <c r="AG106" i="17"/>
  <c r="AG107" i="17"/>
  <c r="AG108" i="17"/>
  <c r="AG109" i="17"/>
  <c r="AG110" i="17"/>
  <c r="AG111" i="17"/>
  <c r="AG112" i="17"/>
  <c r="AG113" i="17"/>
  <c r="AG114" i="17"/>
  <c r="AG115" i="17"/>
  <c r="AG116" i="17"/>
  <c r="AG117" i="17"/>
  <c r="AG118" i="17"/>
  <c r="AG119" i="17"/>
  <c r="AG120" i="17"/>
  <c r="AG121" i="17"/>
  <c r="AG122" i="17"/>
  <c r="AG123" i="17"/>
  <c r="AG124" i="17"/>
  <c r="AG125" i="17"/>
  <c r="AG126" i="17"/>
  <c r="AG127" i="17"/>
  <c r="AG128" i="17"/>
  <c r="AG129" i="17"/>
  <c r="AG130" i="17"/>
  <c r="AG131" i="17"/>
  <c r="AG132" i="17"/>
  <c r="AG133" i="17"/>
  <c r="AG134" i="17"/>
  <c r="AG135" i="17"/>
  <c r="AG136" i="17"/>
  <c r="AG137" i="17"/>
  <c r="AG138" i="17"/>
  <c r="AG139" i="17"/>
  <c r="AG140" i="17"/>
  <c r="AG141" i="17"/>
  <c r="AG142" i="17"/>
  <c r="AG143" i="17"/>
  <c r="AG144" i="17"/>
  <c r="AG145" i="17"/>
  <c r="AG146" i="17"/>
  <c r="AG147" i="17"/>
  <c r="AG148" i="17"/>
  <c r="AG149" i="17"/>
  <c r="AG150" i="17"/>
  <c r="AG151" i="17"/>
  <c r="AG152" i="17"/>
  <c r="AG153" i="17"/>
  <c r="AG154" i="17"/>
  <c r="AG155" i="17"/>
  <c r="AG156" i="17"/>
  <c r="AG157" i="17"/>
  <c r="AG158" i="17"/>
  <c r="AG159" i="17"/>
  <c r="AG160" i="17"/>
  <c r="AG161" i="17"/>
  <c r="AG162" i="17"/>
  <c r="AG163" i="17"/>
  <c r="AG164" i="17"/>
  <c r="AG165" i="17"/>
  <c r="AG166" i="17"/>
  <c r="AG167" i="17"/>
  <c r="AG168" i="17"/>
  <c r="AG169" i="17"/>
  <c r="AG170" i="17"/>
  <c r="AG171" i="17"/>
  <c r="AG172" i="17"/>
  <c r="AG173" i="17"/>
  <c r="AG174" i="17"/>
  <c r="AG175" i="17"/>
  <c r="AG176" i="17"/>
  <c r="AG177" i="17"/>
  <c r="AG178" i="17"/>
  <c r="AG179" i="17"/>
  <c r="AG180" i="17"/>
  <c r="AG181" i="17"/>
  <c r="AG182" i="17"/>
  <c r="AG183" i="17"/>
  <c r="AG184" i="17"/>
  <c r="AG185" i="17"/>
  <c r="AG186" i="17"/>
  <c r="AG187" i="17"/>
  <c r="AG188" i="17"/>
  <c r="AG189" i="17"/>
  <c r="AG190" i="17"/>
  <c r="AG191" i="17"/>
  <c r="AG192" i="17"/>
  <c r="AG193" i="17"/>
  <c r="AG194" i="17"/>
  <c r="AG195" i="17"/>
  <c r="AG196" i="17"/>
  <c r="AG197" i="17"/>
  <c r="AG198" i="17"/>
  <c r="AG199" i="17"/>
  <c r="AG200" i="17"/>
  <c r="AG201" i="17"/>
  <c r="AG202" i="17"/>
  <c r="AG203" i="17"/>
  <c r="AG204" i="17"/>
  <c r="AG205" i="17"/>
  <c r="AG206" i="17"/>
  <c r="AG207" i="17"/>
  <c r="AG208" i="17"/>
  <c r="AG209" i="17"/>
  <c r="AG210" i="17"/>
  <c r="AG211" i="17"/>
  <c r="AG212" i="17"/>
  <c r="AG213" i="17"/>
  <c r="AG214" i="17"/>
  <c r="AG215" i="17"/>
  <c r="AG216" i="17"/>
  <c r="AG217" i="17"/>
  <c r="AG218" i="17"/>
  <c r="AG219" i="17"/>
  <c r="AG220" i="17"/>
  <c r="AG221" i="17"/>
  <c r="AG222" i="17"/>
  <c r="AG223" i="17"/>
  <c r="AG224" i="17"/>
  <c r="AG225" i="17"/>
  <c r="AG226" i="17"/>
  <c r="AG227" i="17"/>
  <c r="AG228" i="17"/>
  <c r="AG229" i="17"/>
  <c r="AG230" i="17"/>
  <c r="AG231" i="17"/>
  <c r="AG232" i="17"/>
  <c r="AG233" i="17"/>
  <c r="AG234" i="17"/>
  <c r="AG235" i="17"/>
  <c r="AG236" i="17"/>
  <c r="AG237" i="17"/>
  <c r="AG238" i="17"/>
  <c r="AG239" i="17"/>
  <c r="AG240" i="17"/>
  <c r="AG241" i="17"/>
  <c r="AG242" i="17"/>
  <c r="AG243" i="17"/>
  <c r="AG244" i="17"/>
  <c r="AG245" i="17"/>
  <c r="AG246" i="17"/>
  <c r="AG247" i="17"/>
  <c r="AG248" i="17"/>
  <c r="AG249" i="17"/>
  <c r="AG250" i="17"/>
  <c r="AG251" i="17"/>
  <c r="AG252" i="17"/>
  <c r="AG253" i="17"/>
  <c r="AG254" i="17"/>
  <c r="AG255" i="17"/>
  <c r="AG256" i="17"/>
  <c r="AG257" i="17"/>
  <c r="AG258" i="17"/>
  <c r="AG259" i="17"/>
  <c r="AG260" i="17"/>
  <c r="AG261" i="17"/>
  <c r="AG262" i="17"/>
  <c r="AG263" i="17"/>
  <c r="AG264" i="17"/>
  <c r="AG265" i="17"/>
  <c r="AG266" i="17"/>
  <c r="AG267" i="17"/>
  <c r="AG268" i="17"/>
  <c r="AG269" i="17"/>
  <c r="AG270" i="17"/>
  <c r="AG271" i="17"/>
  <c r="AG272" i="17"/>
  <c r="AG273" i="17"/>
  <c r="AG274" i="17"/>
  <c r="AG275" i="17"/>
  <c r="AG276" i="17"/>
  <c r="AG277" i="17"/>
  <c r="AG278" i="17"/>
  <c r="AG279" i="17"/>
  <c r="AG280" i="17"/>
  <c r="AG281" i="17"/>
  <c r="AG282" i="17"/>
  <c r="AG283" i="17"/>
  <c r="AG284" i="17"/>
  <c r="AG285" i="17"/>
  <c r="AG286" i="17"/>
  <c r="AG287" i="17"/>
  <c r="AG288" i="17"/>
  <c r="AG289" i="17"/>
  <c r="AG290" i="17"/>
  <c r="AG291" i="17"/>
  <c r="AG292" i="17"/>
  <c r="AG293" i="17"/>
  <c r="AG294" i="17"/>
  <c r="AG295" i="17"/>
  <c r="AG296" i="17"/>
  <c r="AG297" i="17"/>
  <c r="AG298" i="17"/>
  <c r="AG299" i="17"/>
  <c r="AG300" i="17"/>
  <c r="AG301" i="17"/>
  <c r="AG302" i="17"/>
  <c r="AG303" i="17"/>
  <c r="AG304" i="17"/>
  <c r="AG305" i="17"/>
  <c r="AG306" i="17"/>
  <c r="AG307" i="17"/>
  <c r="AG308" i="17"/>
  <c r="AG309" i="17"/>
  <c r="AG310" i="17"/>
  <c r="AG311" i="17"/>
  <c r="AG312" i="17"/>
  <c r="AG313" i="17"/>
  <c r="AG314" i="17"/>
  <c r="AG315" i="17"/>
  <c r="AG316" i="17"/>
  <c r="AG317" i="17"/>
  <c r="AG318" i="17"/>
  <c r="AG319" i="17"/>
  <c r="AG320" i="17"/>
  <c r="AG321" i="17"/>
  <c r="AG322" i="17"/>
  <c r="AG323" i="17"/>
  <c r="AG324" i="17"/>
  <c r="AG325" i="17"/>
  <c r="AG326" i="17"/>
  <c r="AG327" i="17"/>
  <c r="AG328" i="17"/>
  <c r="AG329" i="17"/>
  <c r="AG330" i="17"/>
  <c r="AG331" i="17"/>
  <c r="AG332" i="17"/>
  <c r="AG333" i="17"/>
  <c r="AG334" i="17"/>
  <c r="AG335" i="17"/>
  <c r="AG336" i="17"/>
  <c r="AG337" i="17"/>
  <c r="AG338" i="17"/>
  <c r="AG339" i="17"/>
  <c r="AG340" i="17"/>
  <c r="AG341" i="17"/>
  <c r="AG342" i="17"/>
  <c r="AG343" i="17"/>
  <c r="AG344" i="17"/>
  <c r="AG345" i="17"/>
  <c r="AG346" i="17"/>
  <c r="AG347" i="17"/>
  <c r="AG348" i="17"/>
  <c r="AG349" i="17"/>
  <c r="AG350" i="17"/>
  <c r="AG351" i="17"/>
  <c r="AG352" i="17"/>
  <c r="AG353" i="17"/>
  <c r="AG354" i="17"/>
  <c r="AG355" i="17"/>
  <c r="AG356" i="17"/>
  <c r="AG357" i="17"/>
  <c r="AG358" i="17"/>
  <c r="AG359" i="17"/>
  <c r="AG360" i="17"/>
  <c r="AG361" i="17"/>
  <c r="AG362" i="17"/>
  <c r="AG363" i="17"/>
  <c r="AG364" i="17"/>
  <c r="AG365" i="17"/>
  <c r="AG366" i="17"/>
  <c r="AG367" i="17"/>
  <c r="AG368" i="17"/>
  <c r="AG369" i="17"/>
  <c r="AG370" i="17"/>
  <c r="AG371" i="17"/>
  <c r="AG372" i="17"/>
  <c r="AG373" i="17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K10" i="18"/>
  <c r="K11" i="18"/>
  <c r="K12" i="18"/>
  <c r="K13" i="18"/>
  <c r="K14" i="18"/>
  <c r="K9" i="18"/>
  <c r="J10" i="18"/>
  <c r="J11" i="18"/>
  <c r="J12" i="18"/>
  <c r="J13" i="18"/>
  <c r="J14" i="18"/>
  <c r="J9" i="18"/>
  <c r="I10" i="18"/>
  <c r="I11" i="18"/>
  <c r="I12" i="18"/>
  <c r="I13" i="18"/>
  <c r="I14" i="18"/>
  <c r="I9" i="18"/>
  <c r="H10" i="18"/>
  <c r="H11" i="18"/>
  <c r="H12" i="18"/>
  <c r="H13" i="18"/>
  <c r="H14" i="18"/>
  <c r="H9" i="18"/>
  <c r="AF2" i="17"/>
  <c r="AF3" i="17"/>
  <c r="AF4" i="17"/>
  <c r="AF5" i="17"/>
  <c r="AF6" i="17"/>
  <c r="AF7" i="17"/>
  <c r="AF8" i="17"/>
  <c r="AF9" i="17"/>
  <c r="AF10" i="17"/>
  <c r="AF11" i="17"/>
  <c r="AF12" i="17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33" i="17"/>
  <c r="AF34" i="17"/>
  <c r="AF35" i="17"/>
  <c r="AF36" i="17"/>
  <c r="AF37" i="17"/>
  <c r="AF38" i="17"/>
  <c r="AF39" i="17"/>
  <c r="AF40" i="17"/>
  <c r="AF41" i="17"/>
  <c r="AF42" i="17"/>
  <c r="AF43" i="17"/>
  <c r="AF44" i="17"/>
  <c r="AF45" i="17"/>
  <c r="AF46" i="17"/>
  <c r="AF47" i="17"/>
  <c r="AF48" i="17"/>
  <c r="AF49" i="17"/>
  <c r="AF50" i="17"/>
  <c r="AF51" i="17"/>
  <c r="AF52" i="17"/>
  <c r="AF53" i="17"/>
  <c r="AF54" i="17"/>
  <c r="AF55" i="17"/>
  <c r="AF56" i="17"/>
  <c r="AF57" i="17"/>
  <c r="AF58" i="17"/>
  <c r="AF59" i="17"/>
  <c r="AF60" i="17"/>
  <c r="AF61" i="17"/>
  <c r="AF62" i="17"/>
  <c r="AF63" i="17"/>
  <c r="AF64" i="17"/>
  <c r="AF65" i="17"/>
  <c r="AF66" i="17"/>
  <c r="AF67" i="17"/>
  <c r="AF68" i="17"/>
  <c r="AF69" i="17"/>
  <c r="AF70" i="17"/>
  <c r="AF71" i="17"/>
  <c r="AF72" i="17"/>
  <c r="AF73" i="17"/>
  <c r="AF74" i="17"/>
  <c r="AF75" i="17"/>
  <c r="AF76" i="17"/>
  <c r="AF77" i="17"/>
  <c r="AF78" i="17"/>
  <c r="AF79" i="17"/>
  <c r="AF80" i="17"/>
  <c r="AF81" i="17"/>
  <c r="AF82" i="17"/>
  <c r="AF83" i="17"/>
  <c r="AF84" i="17"/>
  <c r="AF85" i="17"/>
  <c r="AF86" i="17"/>
  <c r="AF87" i="17"/>
  <c r="AF88" i="17"/>
  <c r="AF89" i="17"/>
  <c r="AF90" i="17"/>
  <c r="AF91" i="17"/>
  <c r="AF92" i="17"/>
  <c r="AF93" i="17"/>
  <c r="AF94" i="17"/>
  <c r="AF95" i="17"/>
  <c r="AF96" i="17"/>
  <c r="AF97" i="17"/>
  <c r="AF98" i="17"/>
  <c r="AF99" i="17"/>
  <c r="AF100" i="17"/>
  <c r="AF101" i="17"/>
  <c r="AF102" i="17"/>
  <c r="AF103" i="17"/>
  <c r="AF104" i="17"/>
  <c r="AF105" i="17"/>
  <c r="AF106" i="17"/>
  <c r="AF107" i="17"/>
  <c r="AF108" i="17"/>
  <c r="AF109" i="17"/>
  <c r="AF110" i="17"/>
  <c r="AF111" i="17"/>
  <c r="AF112" i="17"/>
  <c r="AF113" i="17"/>
  <c r="AF114" i="17"/>
  <c r="AF115" i="17"/>
  <c r="AF116" i="17"/>
  <c r="AF117" i="17"/>
  <c r="AF118" i="17"/>
  <c r="AF119" i="17"/>
  <c r="AF120" i="17"/>
  <c r="AF121" i="17"/>
  <c r="AF122" i="17"/>
  <c r="AF123" i="17"/>
  <c r="AF124" i="17"/>
  <c r="AF125" i="17"/>
  <c r="AF126" i="17"/>
  <c r="AF127" i="17"/>
  <c r="AF128" i="17"/>
  <c r="AF129" i="17"/>
  <c r="AF130" i="17"/>
  <c r="AF131" i="17"/>
  <c r="AF132" i="17"/>
  <c r="AF133" i="17"/>
  <c r="AF134" i="17"/>
  <c r="AF135" i="17"/>
  <c r="AF136" i="17"/>
  <c r="AF137" i="17"/>
  <c r="AF138" i="17"/>
  <c r="AF139" i="17"/>
  <c r="AF140" i="17"/>
  <c r="AF141" i="17"/>
  <c r="AF142" i="17"/>
  <c r="AF143" i="17"/>
  <c r="AF144" i="17"/>
  <c r="AF145" i="17"/>
  <c r="AF146" i="17"/>
  <c r="AF147" i="17"/>
  <c r="AF148" i="17"/>
  <c r="AF149" i="17"/>
  <c r="AF150" i="17"/>
  <c r="AF151" i="17"/>
  <c r="AF152" i="17"/>
  <c r="AF153" i="17"/>
  <c r="AF154" i="17"/>
  <c r="AF155" i="17"/>
  <c r="AF156" i="17"/>
  <c r="AF157" i="17"/>
  <c r="AF158" i="17"/>
  <c r="AF159" i="17"/>
  <c r="AF160" i="17"/>
  <c r="AF161" i="17"/>
  <c r="AF162" i="17"/>
  <c r="AF163" i="17"/>
  <c r="AF164" i="17"/>
  <c r="AF165" i="17"/>
  <c r="AF166" i="17"/>
  <c r="AF167" i="17"/>
  <c r="AF168" i="17"/>
  <c r="AF169" i="17"/>
  <c r="AF170" i="17"/>
  <c r="AF171" i="17"/>
  <c r="AF172" i="17"/>
  <c r="AF173" i="17"/>
  <c r="AF174" i="17"/>
  <c r="AF175" i="17"/>
  <c r="AF176" i="17"/>
  <c r="AF177" i="17"/>
  <c r="AF178" i="17"/>
  <c r="AF179" i="17"/>
  <c r="AF180" i="17"/>
  <c r="AF181" i="17"/>
  <c r="AF182" i="17"/>
  <c r="AF183" i="17"/>
  <c r="AF184" i="17"/>
  <c r="AF185" i="17"/>
  <c r="AF186" i="17"/>
  <c r="AF187" i="17"/>
  <c r="AF188" i="17"/>
  <c r="AF189" i="17"/>
  <c r="AF190" i="17"/>
  <c r="AF191" i="17"/>
  <c r="AF192" i="17"/>
  <c r="AF193" i="17"/>
  <c r="AF194" i="17"/>
  <c r="AF195" i="17"/>
  <c r="AF196" i="17"/>
  <c r="AF197" i="17"/>
  <c r="AF198" i="17"/>
  <c r="AF199" i="17"/>
  <c r="AF200" i="17"/>
  <c r="AF201" i="17"/>
  <c r="AF202" i="17"/>
  <c r="AF203" i="17"/>
  <c r="AF204" i="17"/>
  <c r="AF205" i="17"/>
  <c r="AF206" i="17"/>
  <c r="AF207" i="17"/>
  <c r="AF208" i="17"/>
  <c r="AF209" i="17"/>
  <c r="AF210" i="17"/>
  <c r="AF211" i="17"/>
  <c r="AF212" i="17"/>
  <c r="AF213" i="17"/>
  <c r="AF214" i="17"/>
  <c r="AF215" i="17"/>
  <c r="AF216" i="17"/>
  <c r="AF217" i="17"/>
  <c r="AF218" i="17"/>
  <c r="AF219" i="17"/>
  <c r="AF220" i="17"/>
  <c r="AF221" i="17"/>
  <c r="AF222" i="17"/>
  <c r="AF223" i="17"/>
  <c r="AF224" i="17"/>
  <c r="AF225" i="17"/>
  <c r="AF226" i="17"/>
  <c r="AF227" i="17"/>
  <c r="AF228" i="17"/>
  <c r="AF229" i="17"/>
  <c r="AF230" i="17"/>
  <c r="AF231" i="17"/>
  <c r="AF232" i="17"/>
  <c r="AF233" i="17"/>
  <c r="AF234" i="17"/>
  <c r="AF235" i="17"/>
  <c r="AF236" i="17"/>
  <c r="AF237" i="17"/>
  <c r="AF238" i="17"/>
  <c r="AF239" i="17"/>
  <c r="AF240" i="17"/>
  <c r="AF241" i="17"/>
  <c r="AF242" i="17"/>
  <c r="AF243" i="17"/>
  <c r="AF244" i="17"/>
  <c r="AF245" i="17"/>
  <c r="AF246" i="17"/>
  <c r="AF247" i="17"/>
  <c r="AF248" i="17"/>
  <c r="AF249" i="17"/>
  <c r="AF250" i="17"/>
  <c r="AF251" i="17"/>
  <c r="AF252" i="17"/>
  <c r="AF253" i="17"/>
  <c r="AF254" i="17"/>
  <c r="AF255" i="17"/>
  <c r="AF256" i="17"/>
  <c r="AF257" i="17"/>
  <c r="AF258" i="17"/>
  <c r="AF259" i="17"/>
  <c r="AF260" i="17"/>
  <c r="AF261" i="17"/>
  <c r="AF262" i="17"/>
  <c r="AF263" i="17"/>
  <c r="AF264" i="17"/>
  <c r="AF265" i="17"/>
  <c r="AF266" i="17"/>
  <c r="AF267" i="17"/>
  <c r="AF268" i="17"/>
  <c r="AF269" i="17"/>
  <c r="AF270" i="17"/>
  <c r="AF271" i="17"/>
  <c r="AF272" i="17"/>
  <c r="AF273" i="17"/>
  <c r="AF274" i="17"/>
  <c r="AF275" i="17"/>
  <c r="AF276" i="17"/>
  <c r="AF277" i="17"/>
  <c r="AF278" i="17"/>
  <c r="AF279" i="17"/>
  <c r="AF280" i="17"/>
  <c r="AF281" i="17"/>
  <c r="AF282" i="17"/>
  <c r="AF283" i="17"/>
  <c r="AF284" i="17"/>
  <c r="AF285" i="17"/>
  <c r="AF286" i="17"/>
  <c r="AF287" i="17"/>
  <c r="AF288" i="17"/>
  <c r="AF289" i="17"/>
  <c r="AF290" i="17"/>
  <c r="AF291" i="17"/>
  <c r="AF292" i="17"/>
  <c r="AF293" i="17"/>
  <c r="AF294" i="17"/>
  <c r="AF295" i="17"/>
  <c r="AF296" i="17"/>
  <c r="AF297" i="17"/>
  <c r="AF298" i="17"/>
  <c r="AF299" i="17"/>
  <c r="AF300" i="17"/>
  <c r="AF301" i="17"/>
  <c r="AF302" i="17"/>
  <c r="AF303" i="17"/>
  <c r="AF304" i="17"/>
  <c r="AF305" i="17"/>
  <c r="AF306" i="17"/>
  <c r="AF307" i="17"/>
  <c r="AF308" i="17"/>
  <c r="AF309" i="17"/>
  <c r="AF310" i="17"/>
  <c r="AF311" i="17"/>
  <c r="AF312" i="17"/>
  <c r="AF313" i="17"/>
  <c r="AF314" i="17"/>
  <c r="AF315" i="17"/>
  <c r="AF316" i="17"/>
  <c r="AF317" i="17"/>
  <c r="AF318" i="17"/>
  <c r="AF319" i="17"/>
  <c r="AF320" i="17"/>
  <c r="AF321" i="17"/>
  <c r="AF322" i="17"/>
  <c r="AF323" i="17"/>
  <c r="AF324" i="17"/>
  <c r="AF325" i="17"/>
  <c r="AF326" i="17"/>
  <c r="AF327" i="17"/>
  <c r="AF328" i="17"/>
  <c r="AF329" i="17"/>
  <c r="AF330" i="17"/>
  <c r="AF331" i="17"/>
  <c r="AF332" i="17"/>
  <c r="AF333" i="17"/>
  <c r="AF334" i="17"/>
  <c r="AF335" i="17"/>
  <c r="AF336" i="17"/>
  <c r="AF337" i="17"/>
  <c r="AF338" i="17"/>
  <c r="AF339" i="17"/>
  <c r="AF340" i="17"/>
  <c r="AF341" i="17"/>
  <c r="AF342" i="17"/>
  <c r="AF343" i="17"/>
  <c r="AF344" i="17"/>
  <c r="AF345" i="17"/>
  <c r="AF346" i="17"/>
  <c r="AF347" i="17"/>
  <c r="AF348" i="17"/>
  <c r="AF349" i="17"/>
  <c r="AF350" i="17"/>
  <c r="AF351" i="17"/>
  <c r="AF352" i="17"/>
  <c r="AF353" i="17"/>
  <c r="AF354" i="17"/>
  <c r="AF355" i="17"/>
  <c r="AF356" i="17"/>
  <c r="AF357" i="17"/>
  <c r="AF358" i="17"/>
  <c r="AF359" i="17"/>
  <c r="AF360" i="17"/>
  <c r="AF361" i="17"/>
  <c r="AF362" i="17"/>
  <c r="AF363" i="17"/>
  <c r="AF364" i="17"/>
  <c r="AF365" i="17"/>
  <c r="AF366" i="17"/>
  <c r="AF367" i="17"/>
  <c r="AF368" i="17"/>
  <c r="AF369" i="17"/>
  <c r="AF370" i="17"/>
  <c r="AF371" i="17"/>
  <c r="AF372" i="17"/>
  <c r="AF373" i="17"/>
  <c r="P9" i="21" l="1"/>
  <c r="Q9" i="21" s="1"/>
  <c r="P10" i="21" l="1"/>
  <c r="Q10" i="21" s="1"/>
  <c r="P11" i="21"/>
  <c r="P12" i="21"/>
  <c r="P13" i="21"/>
  <c r="Q14" i="21" s="1"/>
  <c r="P14" i="21"/>
  <c r="Q15" i="21" s="1"/>
  <c r="P15" i="21"/>
  <c r="P16" i="21"/>
  <c r="P17" i="21"/>
  <c r="Q18" i="21" s="1"/>
  <c r="P18" i="21"/>
  <c r="Q19" i="21" s="1"/>
  <c r="P19" i="21"/>
  <c r="P20" i="21"/>
  <c r="P21" i="21"/>
  <c r="Q21" i="21" l="1"/>
  <c r="Q17" i="21"/>
  <c r="Q13" i="21"/>
  <c r="Q20" i="21"/>
  <c r="Q16" i="21"/>
  <c r="Q11" i="21"/>
  <c r="Q12" i="21"/>
  <c r="D12" i="20" l="1" a="1"/>
  <c r="D12" i="20" s="1"/>
  <c r="D11" i="20" a="1"/>
  <c r="D11" i="20" s="1"/>
  <c r="D10" i="20" a="1"/>
  <c r="D10" i="20" s="1"/>
  <c r="D9" i="20" a="1"/>
  <c r="D9" i="20" s="1"/>
  <c r="D8" i="20" a="1"/>
  <c r="D8" i="20" s="1"/>
  <c r="D7" i="20" a="1"/>
  <c r="D7" i="20" s="1"/>
  <c r="C8" i="20" a="1"/>
  <c r="C8" i="20" s="1"/>
  <c r="C9" i="20" a="1"/>
  <c r="C9" i="20" s="1"/>
  <c r="C10" i="20" a="1"/>
  <c r="C10" i="20" s="1"/>
  <c r="C11" i="20" a="1"/>
  <c r="C11" i="20" s="1"/>
  <c r="C12" i="20" a="1"/>
  <c r="C12" i="20" s="1"/>
  <c r="C7" i="20" a="1"/>
  <c r="C7" i="20" s="1"/>
  <c r="E8" i="20" l="1"/>
  <c r="E12" i="20"/>
  <c r="E9" i="20"/>
  <c r="E10" i="20"/>
  <c r="E7" i="20"/>
  <c r="E11" i="20"/>
  <c r="B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67B0E-068C-4786-951B-C576E6E03E27}" keepAlive="1" name="Query - CPI_index_data" description="Connection to the 'CPI_index_data' query in the workbook." type="5" refreshedVersion="8" background="1" saveData="1">
    <dbPr connection="Provider=Microsoft.Mashup.OleDb.1;Data Source=$Workbook$;Location=CPI_index_data;Extended Properties=&quot;&quot;" command="SELECT * FROM [CPI_index_data]"/>
  </connection>
  <connection id="2" xr16:uid="{BB466361-B5EC-4EFF-BB64-5F8007AAB944}" keepAlive="1" name="Query - Crude_oil_price" description="Connection to the 'Crude_oil_price' query in the workbook." type="5" refreshedVersion="0" background="1" saveData="1">
    <dbPr connection="Provider=Microsoft.Mashup.OleDb.1;Data Source=$Workbook$;Location=Crude_oil_price;Extended Properties=&quot;&quot;" command="SELECT * FROM [Crude_oil_pri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<sst xmlns="http://schemas.openxmlformats.org/spreadsheetml/2006/main" count="2283" uniqueCount="325">
  <si>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</si>
  <si>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</si>
  <si>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</si>
  <si>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</si>
  <si>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</si>
  <si>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</si>
  <si>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</si>
  <si>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</si>
  <si>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</si>
  <si>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</si>
  <si>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</si>
  <si>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</si>
  <si>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</si>
  <si>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</si>
  <si>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</si>
  <si>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</si>
  <si>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</si>
  <si>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</si>
  <si>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</si>
  <si>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</si>
  <si>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</si>
  <si>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</si>
  <si>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</si>
  <si>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</si>
  <si>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</si>
  <si>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</si>
  <si>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</si>
  <si>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</si>
  <si>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</si>
  <si>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</si>
  <si>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</si>
  <si>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</si>
  <si>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</si>
  <si>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</si>
  <si>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</si>
  <si>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</si>
  <si>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</si>
  <si>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</si>
  <si>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</si>
  <si>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</si>
  <si>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</si>
  <si>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</si>
  <si>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</si>
  <si>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</si>
  <si>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</si>
  <si>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</si>
  <si>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</si>
  <si>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</si>
  <si>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</si>
  <si>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</si>
  <si>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</si>
  <si>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</si>
  <si>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</si>
  <si>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</si>
  <si>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</si>
  <si>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</si>
  <si>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</si>
  <si>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</si>
  <si>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</si>
  <si>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</si>
  <si>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</si>
  <si>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</si>
  <si>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</si>
  <si>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</si>
  <si>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</si>
  <si>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</si>
  <si>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</si>
  <si>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</si>
  <si>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</si>
  <si>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</si>
  <si>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</si>
  <si>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</si>
  <si>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</si>
  <si>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</si>
  <si>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</si>
  <si>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</si>
  <si>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</si>
  <si>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</si>
  <si>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</si>
  <si>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</si>
  <si>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</si>
  <si>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</si>
  <si>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</si>
  <si>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</si>
  <si>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</si>
  <si>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</si>
  <si>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</si>
  <si>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</si>
  <si>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</si>
  <si>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</si>
  <si>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</si>
  <si>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</si>
  <si>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</si>
  <si>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</si>
  <si>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</si>
  <si>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</si>
  <si>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</si>
  <si>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</si>
  <si>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</si>
  <si>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</si>
  <si>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</si>
  <si>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</si>
  <si>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</si>
  <si>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</si>
  <si>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</si>
  <si>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</si>
  <si>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</si>
  <si>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</si>
  <si>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</si>
  <si>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</si>
  <si>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</si>
  <si>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</si>
  <si>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</si>
  <si>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</si>
  <si>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</si>
  <si>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</si>
  <si>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</si>
  <si>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</si>
  <si>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</si>
  <si>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</si>
  <si>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</si>
  <si>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</si>
  <si>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</si>
  <si>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</si>
  <si>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</si>
  <si>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</si>
  <si>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</si>
  <si>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</si>
  <si>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</si>
  <si>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</si>
  <si>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</si>
  <si>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</si>
  <si>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</si>
  <si>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</si>
  <si>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</si>
  <si>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</si>
  <si>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</si>
  <si>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</si>
  <si>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</si>
  <si>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</si>
  <si>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</si>
  <si>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</si>
  <si>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</si>
  <si>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</si>
  <si>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</si>
  <si>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</si>
  <si>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</si>
  <si>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</si>
  <si>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</si>
  <si>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</si>
  <si>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</si>
  <si>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</si>
  <si>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</si>
  <si>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</si>
  <si>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</si>
  <si>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</si>
  <si>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</si>
  <si>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</si>
  <si>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</si>
  <si>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</si>
  <si>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</si>
  <si>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</si>
  <si>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</si>
  <si>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</si>
  <si>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</si>
  <si>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Impute the missing values with moving averages</t>
  </si>
  <si>
    <t>For missing values of april and  may 2020, impute with averages of Feb, Mar, Jun, Jul</t>
  </si>
  <si>
    <t>For missing values of may 2020, impute with averages of Apr and Jun</t>
  </si>
  <si>
    <t>For NA values in housing col for rural sector, impute using the average value of urban and rural + urban sectors</t>
  </si>
  <si>
    <t>Combining all the food categories into one broader Food Category</t>
  </si>
  <si>
    <t>May-2023</t>
  </si>
  <si>
    <t>Date</t>
  </si>
  <si>
    <t>INSIGHTS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</si>
  <si>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</si>
  <si>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</si>
  <si>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</si>
  <si>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</si>
  <si>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</si>
  <si>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</si>
  <si>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</si>
  <si>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</si>
  <si>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</si>
  <si>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</si>
  <si>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</si>
  <si>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Categories</t>
  </si>
  <si>
    <t>Price</t>
  </si>
  <si>
    <t>CPI Data for May 2023</t>
  </si>
  <si>
    <t>Broader Category</t>
  </si>
  <si>
    <t>Food</t>
  </si>
  <si>
    <t>Healthcare</t>
  </si>
  <si>
    <t>Premium</t>
  </si>
  <si>
    <t>ANALYSIS SUMMARY</t>
  </si>
  <si>
    <t>Jan CPI</t>
  </si>
  <si>
    <t>Dec CPI</t>
  </si>
  <si>
    <t>Annual Inflation %</t>
  </si>
  <si>
    <t>The primary contributor to this rise has been the upward trend in Food product prices.</t>
  </si>
  <si>
    <r>
      <t xml:space="preserve">Year </t>
    </r>
    <r>
      <rPr>
        <b/>
        <sz val="11"/>
        <color rgb="FFFF0000"/>
        <rFont val="Calibri"/>
        <family val="2"/>
        <scheme val="minor"/>
      </rPr>
      <t>2019</t>
    </r>
    <r>
      <rPr>
        <b/>
        <sz val="11"/>
        <color theme="1"/>
        <rFont val="Calibri"/>
        <family val="2"/>
        <scheme val="minor"/>
      </rPr>
      <t xml:space="preserve"> marks the </t>
    </r>
    <r>
      <rPr>
        <b/>
        <sz val="11"/>
        <color rgb="FFFF0000"/>
        <rFont val="Calibri"/>
        <family val="2"/>
        <scheme val="minor"/>
      </rPr>
      <t>sharpest inflation</t>
    </r>
    <r>
      <rPr>
        <b/>
        <sz val="11"/>
        <color theme="1"/>
        <rFont val="Calibri"/>
        <family val="2"/>
        <scheme val="minor"/>
      </rPr>
      <t xml:space="preserve"> change since 2017, with an increase of </t>
    </r>
    <r>
      <rPr>
        <b/>
        <sz val="11"/>
        <color rgb="FFFF0000"/>
        <rFont val="Calibri"/>
        <family val="2"/>
        <scheme val="minor"/>
      </rPr>
      <t>nearly 8%</t>
    </r>
    <r>
      <rPr>
        <b/>
        <sz val="11"/>
        <color theme="1"/>
        <rFont val="Calibri"/>
        <family val="2"/>
        <scheme val="minor"/>
      </rPr>
      <t xml:space="preserve">. </t>
    </r>
  </si>
  <si>
    <t>Monthly Change %</t>
  </si>
  <si>
    <t>Month-o-Month Inflation Change from June 2022 To May 2023</t>
  </si>
  <si>
    <t>Analysis Summary</t>
  </si>
  <si>
    <t>Absolute Inflation</t>
  </si>
  <si>
    <t>Food Bucked Sub Categories</t>
  </si>
  <si>
    <t>Column1</t>
  </si>
  <si>
    <t>May-2022</t>
  </si>
  <si>
    <r>
      <rPr>
        <b/>
        <sz val="11"/>
        <color rgb="FFFF0000"/>
        <rFont val="Calibri"/>
        <family val="2"/>
        <scheme val="minor"/>
      </rPr>
      <t>Spices</t>
    </r>
    <r>
      <rPr>
        <b/>
        <sz val="11"/>
        <color theme="1"/>
        <rFont val="Calibri"/>
        <family val="2"/>
        <scheme val="minor"/>
      </rPr>
      <t xml:space="preserve"> inflation surged by </t>
    </r>
    <r>
      <rPr>
        <b/>
        <sz val="11"/>
        <color rgb="FFFF0000"/>
        <rFont val="Calibri"/>
        <family val="2"/>
        <scheme val="minor"/>
      </rPr>
      <t>16.5%</t>
    </r>
    <r>
      <rPr>
        <b/>
        <sz val="11"/>
        <color theme="1"/>
        <rFont val="Calibri"/>
        <family val="2"/>
        <scheme val="minor"/>
      </rPr>
      <t xml:space="preserve"> over the last year, primarily due to supply shortages from adverse weather and robust export demand, making spices a top contributor to overall food inflation.</t>
    </r>
  </si>
  <si>
    <t>Feb-2020</t>
  </si>
  <si>
    <t>Mar-2020</t>
  </si>
  <si>
    <t>Feb-2022</t>
  </si>
  <si>
    <t>Mar-2018</t>
  </si>
  <si>
    <t>Feb-2019</t>
  </si>
  <si>
    <t>Mar-2019</t>
  </si>
  <si>
    <t>Feb-2021</t>
  </si>
  <si>
    <t>Mar-2021</t>
  </si>
  <si>
    <t>Essentials</t>
  </si>
  <si>
    <t>Contribution %</t>
  </si>
  <si>
    <t>Avg Total</t>
  </si>
  <si>
    <r>
      <rPr>
        <b/>
        <sz val="11"/>
        <color rgb="FFFF0000"/>
        <rFont val="Calibri"/>
        <family val="2"/>
        <scheme val="minor"/>
      </rPr>
      <t>Food</t>
    </r>
    <r>
      <rPr>
        <b/>
        <sz val="11"/>
        <color theme="1"/>
        <rFont val="Calibri"/>
        <family val="2"/>
        <scheme val="minor"/>
      </rPr>
      <t xml:space="preserve"> Category emerges as the </t>
    </r>
    <r>
      <rPr>
        <b/>
        <sz val="11"/>
        <color rgb="FFFF0000"/>
        <rFont val="Calibri"/>
        <family val="2"/>
        <scheme val="minor"/>
      </rPr>
      <t>most significant contributor</t>
    </r>
    <r>
      <rPr>
        <b/>
        <sz val="11"/>
        <color theme="1"/>
        <rFont val="Calibri"/>
        <family val="2"/>
        <scheme val="minor"/>
      </rPr>
      <t xml:space="preserve"> towards CPI Basket, demonstrating the highest overall contribution of nearly</t>
    </r>
    <r>
      <rPr>
        <b/>
        <sz val="11"/>
        <color rgb="FFFF0000"/>
        <rFont val="Calibri"/>
        <family val="2"/>
        <scheme val="minor"/>
      </rPr>
      <t xml:space="preserve"> 50% </t>
    </r>
    <r>
      <rPr>
        <b/>
        <sz val="11"/>
        <color theme="1"/>
        <rFont val="Calibri"/>
        <family val="2"/>
        <scheme val="minor"/>
      </rPr>
      <t>across all three sectors - Rural, Urban, Rural+Urban, followed by Essentials which stand 2nd with 18.81%</t>
    </r>
  </si>
  <si>
    <r>
      <t>In contrast,</t>
    </r>
    <r>
      <rPr>
        <b/>
        <sz val="11"/>
        <color rgb="FFFF0000"/>
        <rFont val="Calibri"/>
        <family val="2"/>
        <scheme val="minor"/>
      </rPr>
      <t xml:space="preserve"> Healthercare</t>
    </r>
    <r>
      <rPr>
        <b/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Miscellaneous</t>
    </r>
    <r>
      <rPr>
        <b/>
        <sz val="11"/>
        <color theme="1"/>
        <rFont val="Calibri"/>
        <family val="2"/>
        <scheme val="minor"/>
      </rPr>
      <t xml:space="preserve"> has lowest contribution with a total share of approx </t>
    </r>
    <r>
      <rPr>
        <b/>
        <sz val="11"/>
        <color rgb="FFFF0000"/>
        <rFont val="Calibri"/>
        <family val="2"/>
        <scheme val="minor"/>
      </rPr>
      <t>4%</t>
    </r>
    <r>
      <rPr>
        <b/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</si>
  <si>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rgb="FFFF0000"/>
        <rFont val="Calibri"/>
        <family val="2"/>
        <scheme val="minor"/>
      </rPr>
      <t>June 2022</t>
    </r>
    <r>
      <rPr>
        <b/>
        <sz val="11"/>
        <color theme="1"/>
        <rFont val="Calibri"/>
        <family val="2"/>
        <scheme val="minor"/>
      </rPr>
      <t xml:space="preserve">, the inflation rate reached its peak with a rise of </t>
    </r>
    <r>
      <rPr>
        <b/>
        <sz val="11"/>
        <color rgb="FFFF0000"/>
        <rFont val="Calibri"/>
        <family val="2"/>
        <scheme val="minor"/>
      </rPr>
      <t>1.03%</t>
    </r>
    <r>
      <rPr>
        <b/>
        <sz val="11"/>
        <color theme="1"/>
        <rFont val="Calibri"/>
        <family val="2"/>
        <scheme val="minor"/>
      </rPr>
      <t xml:space="preserve">. </t>
    </r>
  </si>
  <si>
    <r>
      <t xml:space="preserve"> </t>
    </r>
    <r>
      <rPr>
        <b/>
        <sz val="11"/>
        <color rgb="FFFF0000"/>
        <rFont val="Calibri"/>
        <family val="2"/>
        <scheme val="minor"/>
      </rPr>
      <t>Feb 2023</t>
    </r>
    <r>
      <rPr>
        <b/>
        <sz val="11"/>
        <color theme="1"/>
        <rFont val="Calibri"/>
        <family val="2"/>
        <scheme val="minor"/>
      </rPr>
      <t xml:space="preserve"> saw the lowest inflation growth recorded, with a decrease of </t>
    </r>
    <r>
      <rPr>
        <b/>
        <sz val="11"/>
        <color rgb="FFFF0000"/>
        <rFont val="Calibri"/>
        <family val="2"/>
        <scheme val="minor"/>
      </rPr>
      <t>-0.6%</t>
    </r>
    <r>
      <rPr>
        <b/>
        <sz val="11"/>
        <color theme="1"/>
        <rFont val="Calibri"/>
        <family val="2"/>
        <scheme val="minor"/>
      </rPr>
      <t xml:space="preserve">. </t>
    </r>
  </si>
  <si>
    <t>Mar-2022</t>
  </si>
  <si>
    <t>2018-2019</t>
  </si>
  <si>
    <t>2019-2020</t>
  </si>
  <si>
    <t>2020-2021</t>
  </si>
  <si>
    <t>2021-2022</t>
  </si>
  <si>
    <t>2022-2023</t>
  </si>
  <si>
    <t>Period</t>
  </si>
  <si>
    <t>Before Covid</t>
  </si>
  <si>
    <t>After Covid</t>
  </si>
  <si>
    <r>
      <rPr>
        <b/>
        <sz val="11"/>
        <color rgb="FFFF0000"/>
        <rFont val="Calibri"/>
        <family val="2"/>
        <scheme val="minor"/>
      </rPr>
      <t>Health</t>
    </r>
    <r>
      <rPr>
        <b/>
        <sz val="11"/>
        <rFont val="Calibri"/>
        <family val="2"/>
        <scheme val="minor"/>
      </rPr>
      <t xml:space="preserve"> inflation shifted from a volatile pattern Before-Covid </t>
    </r>
    <r>
      <rPr>
        <b/>
        <sz val="11"/>
        <color rgb="FFFF0000"/>
        <rFont val="Calibri"/>
        <family val="2"/>
        <scheme val="minor"/>
      </rPr>
      <t>(8.41% to 3.76%)</t>
    </r>
    <r>
      <rPr>
        <b/>
        <sz val="11"/>
        <rFont val="Calibri"/>
        <family val="2"/>
        <scheme val="minor"/>
      </rPr>
      <t xml:space="preserve"> to a steady but elevated range After-Covid </t>
    </r>
    <r>
      <rPr>
        <b/>
        <sz val="11"/>
        <color rgb="FFFF0000"/>
        <rFont val="Calibri"/>
        <family val="2"/>
        <scheme val="minor"/>
      </rPr>
      <t>(5.91% → 6.59%)</t>
    </r>
    <r>
      <rPr>
        <b/>
        <sz val="11"/>
        <rFont val="Calibri"/>
        <family val="2"/>
        <scheme val="minor"/>
      </rPr>
      <t>.</t>
    </r>
  </si>
  <si>
    <r>
      <rPr>
        <b/>
        <sz val="11"/>
        <color rgb="FFFF0000"/>
        <rFont val="Calibri"/>
        <family val="2"/>
        <scheme val="minor"/>
      </rPr>
      <t>Food</t>
    </r>
    <r>
      <rPr>
        <b/>
        <sz val="11"/>
        <rFont val="Calibri"/>
        <family val="2"/>
        <scheme val="minor"/>
      </rPr>
      <t xml:space="preserve"> inflation shifted from a sharp surge Before-Covid </t>
    </r>
    <r>
      <rPr>
        <b/>
        <sz val="11"/>
        <color rgb="FFFF0000"/>
        <rFont val="Calibri"/>
        <family val="2"/>
        <scheme val="minor"/>
      </rPr>
      <t>(0.06% to 8.43%)</t>
    </r>
    <r>
      <rPr>
        <b/>
        <sz val="11"/>
        <rFont val="Calibri"/>
        <family val="2"/>
        <scheme val="minor"/>
      </rPr>
      <t xml:space="preserve"> to the reverse After-Covid, showing a consistent cooling trend </t>
    </r>
    <r>
      <rPr>
        <b/>
        <sz val="11"/>
        <color rgb="FFFF0000"/>
        <rFont val="Calibri"/>
        <family val="2"/>
        <scheme val="minor"/>
      </rPr>
      <t>(7.59% to 4.34%)</t>
    </r>
    <r>
      <rPr>
        <b/>
        <sz val="11"/>
        <rFont val="Calibri"/>
        <family val="2"/>
        <scheme val="minor"/>
      </rPr>
      <t>.</t>
    </r>
  </si>
  <si>
    <r>
      <rPr>
        <b/>
        <sz val="11"/>
        <color rgb="FFFF0000"/>
        <rFont val="Calibri"/>
        <family val="2"/>
        <scheme val="minor"/>
      </rPr>
      <t>Essentials</t>
    </r>
    <r>
      <rPr>
        <b/>
        <sz val="11"/>
        <rFont val="Calibri"/>
        <family val="2"/>
        <scheme val="minor"/>
      </rPr>
      <t xml:space="preserve"> inflation moved from Before-Covid decline </t>
    </r>
    <r>
      <rPr>
        <b/>
        <sz val="11"/>
        <color rgb="FFFF0000"/>
        <rFont val="Calibri"/>
        <family val="2"/>
        <scheme val="minor"/>
      </rPr>
      <t xml:space="preserve">(4.43% to 3.89%) </t>
    </r>
    <r>
      <rPr>
        <b/>
        <sz val="11"/>
        <rFont val="Calibri"/>
        <family val="2"/>
        <scheme val="minor"/>
      </rPr>
      <t>into a persistent upward climb After-Covid </t>
    </r>
    <r>
      <rPr>
        <b/>
        <sz val="11"/>
        <color rgb="FFFF0000"/>
        <rFont val="Calibri"/>
        <family val="2"/>
        <scheme val="minor"/>
      </rPr>
      <t>(4.34% to 6.08%)</t>
    </r>
    <r>
      <rPr>
        <b/>
        <sz val="11"/>
        <rFont val="Calibri"/>
        <family val="2"/>
        <scheme val="minor"/>
      </rPr>
      <t>.</t>
    </r>
  </si>
  <si>
    <t>Clothing, footwear products into Clothing</t>
  </si>
  <si>
    <t xml:space="preserve">Housing, fuel and light, Household goods, transport, and education into Essentials </t>
  </si>
  <si>
    <t>Pan and tabacco, Recreation and amusement, and Personal care into Premium</t>
  </si>
  <si>
    <t>Others broader categories are Health, Miscellaneous etc</t>
  </si>
  <si>
    <t>Created New columns for broader categories</t>
  </si>
  <si>
    <t>Map related categories to a broader category</t>
  </si>
  <si>
    <t>Summed up all the food categories into a broader Food category and housing, fuel and light, household goods, transport, and education into essentials</t>
  </si>
  <si>
    <t>Clothing2</t>
  </si>
  <si>
    <t>Jan-2021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</si>
  <si>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</si>
  <si>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</si>
  <si>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</si>
  <si>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</si>
  <si>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</si>
  <si>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</si>
  <si>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</si>
  <si>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</si>
  <si>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</si>
  <si>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</si>
  <si>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Apr-2022</t>
  </si>
  <si>
    <t>Crude oil price</t>
  </si>
  <si>
    <t>Correlation</t>
  </si>
  <si>
    <r>
      <t xml:space="preserve">Crude oil price fluctuations from 2021 to 2023 strongly influenced inflation, especially in </t>
    </r>
    <r>
      <rPr>
        <b/>
        <sz val="11"/>
        <color rgb="FFFF0000"/>
        <rFont val="Calibri"/>
        <family val="2"/>
        <scheme val="minor"/>
      </rPr>
      <t>Food</t>
    </r>
    <r>
      <rPr>
        <b/>
        <sz val="11"/>
        <color theme="1"/>
        <rFont val="Calibri"/>
        <family val="2"/>
        <scheme val="minor"/>
      </rPr>
      <t xml:space="preserve"> categories, with effects gradually passing through to other sectors globally.</t>
    </r>
  </si>
  <si>
    <r>
      <t xml:space="preserve">While </t>
    </r>
    <r>
      <rPr>
        <b/>
        <sz val="11"/>
        <color rgb="FFFF0000"/>
        <rFont val="Calibri"/>
        <family val="2"/>
        <scheme val="minor"/>
      </rPr>
      <t>Health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Premium</t>
    </r>
    <r>
      <rPr>
        <b/>
        <sz val="11"/>
        <color theme="1"/>
        <rFont val="Calibri"/>
        <family val="2"/>
        <scheme val="minor"/>
      </rPr>
      <t xml:space="preserve"> sectors are slightly less affected.</t>
    </r>
  </si>
  <si>
    <t>Objective 1</t>
  </si>
  <si>
    <t>Data Dictionary</t>
  </si>
  <si>
    <t>Based on the latest month's data, identify the contribution of different borader categories towards CPI basket.</t>
  </si>
  <si>
    <t>Column Name</t>
  </si>
  <si>
    <t>Description</t>
  </si>
  <si>
    <t>Broader categories can be created by combining similar categories into one bucket</t>
  </si>
  <si>
    <t>Tells about the sector of research- urban, rural, urban + rural</t>
  </si>
  <si>
    <t>Ex: meal, beverages, etc can be clubbed into Food broader category</t>
  </si>
  <si>
    <t>Tells about the year of research</t>
  </si>
  <si>
    <t>Which broader category has the highest contribution towards CPI calculation</t>
  </si>
  <si>
    <t>Tells about the month of research</t>
  </si>
  <si>
    <t>Contribution is calculated by evaluting the underlying index values for broader category</t>
  </si>
  <si>
    <t>CPI index of cereals and products</t>
  </si>
  <si>
    <t>and should add to 100%  when contribution from different broader categories are added.</t>
  </si>
  <si>
    <t>CPI index of Meat and Fish</t>
  </si>
  <si>
    <t>CPI index of Egg</t>
  </si>
  <si>
    <t>CPI index of Milk and products</t>
  </si>
  <si>
    <t>Objective 2</t>
  </si>
  <si>
    <t>CPI index of Oils and fats</t>
  </si>
  <si>
    <t>A trend of Y-o-Y increase in CPI (rural + urban) inflaion starting from 2017 for the entire basket of products combined.</t>
  </si>
  <si>
    <t>CPI index of Fruits</t>
  </si>
  <si>
    <t>Create a graph depicting the growth rate Y-o-Y and identify the year with highest inflation rate.</t>
  </si>
  <si>
    <t>CPI index of Vegetables</t>
  </si>
  <si>
    <t>Highlight the reason why the year has the highest inflation.</t>
  </si>
  <si>
    <t>CPI index of Pulses and products</t>
  </si>
  <si>
    <t>CPI index of Sugar and Confectionery</t>
  </si>
  <si>
    <t>CPI index of Spices</t>
  </si>
  <si>
    <t>Objective 3</t>
  </si>
  <si>
    <t>CPI index of Non-alcoholic beverages</t>
  </si>
  <si>
    <t>With the india's retail inflation reaching a 3-month high of 5.55% in Nov 2023, largley due to sharp rise in food prices.</t>
  </si>
  <si>
    <t>CPI index of Prepared meals, snacks, sweets etc.</t>
  </si>
  <si>
    <t>Analyze the following for 12 months ending May 2023.</t>
  </si>
  <si>
    <t>CPI index of Food and beverages</t>
  </si>
  <si>
    <t xml:space="preserve">Investigate trends in the prices of broader food bucket category and evalute month-on-month changes. Highlight the </t>
  </si>
  <si>
    <t>CPI index of Pan, tobacco and intoxicants</t>
  </si>
  <si>
    <t>month with highest and lowest food inflation.</t>
  </si>
  <si>
    <t>CPI index of Clothing</t>
  </si>
  <si>
    <t>Identify the absolute change in the inflation over the same 12-months period and identify the biggest individual</t>
  </si>
  <si>
    <t>CPI index of Footwear</t>
  </si>
  <si>
    <t>category contributor towards inflation (only within broader category).</t>
  </si>
  <si>
    <t>CPI index of Clothing and footwear</t>
  </si>
  <si>
    <t>CPI index of Housing</t>
  </si>
  <si>
    <t>CPI index of Fuel and light</t>
  </si>
  <si>
    <t>Objective 4</t>
  </si>
  <si>
    <t>CPI index of Household goods and services</t>
  </si>
  <si>
    <t>Investigate how the onset and progression of covid-19 pandemic affected inflation rates in india.</t>
  </si>
  <si>
    <t>CPI index of Health</t>
  </si>
  <si>
    <t>Analyze the effects of key pandemic milestone on the CPI inflation % and especially focus on the categories like food,</t>
  </si>
  <si>
    <t>CPI index of Transport and communication</t>
  </si>
  <si>
    <t>healthcare, and essential services.</t>
  </si>
  <si>
    <t>CPI index of Recreation and amusement</t>
  </si>
  <si>
    <t>You can consider March 2020 as the onset of covid, and can compare the inflation trend before and after March 2020 to</t>
  </si>
  <si>
    <t>CPI index of Education</t>
  </si>
  <si>
    <t>see if there is a change in inflation % before and after.</t>
  </si>
  <si>
    <t>CPI index of Personal care and effects</t>
  </si>
  <si>
    <t>CPI index of Miscellaneous</t>
  </si>
  <si>
    <t>Overall CPI index, generalised</t>
  </si>
  <si>
    <t>Objective 5</t>
  </si>
  <si>
    <t>Aggregated CPI index forFood-Broader (Cereals, egg, milk, oils column upto pan, tabbacco</t>
  </si>
  <si>
    <t>Investigate how major global economic events (like imported crude oil price fluctuations) have influenced India's</t>
  </si>
  <si>
    <t>inflation. This can include analysis of imported goods and their price trends.</t>
  </si>
  <si>
    <t>For this analysis, focus only on imported oil price fluctuations data from year 2021 to 2023 (Month-on-Month)</t>
  </si>
  <si>
    <t>Identify trend in oil price change with change in inflation prices of all the categories and identify categories whose</t>
  </si>
  <si>
    <t>inflation prices strongly changes with fluctuations in imported oil price. (correl function can be used)</t>
  </si>
  <si>
    <t xml:space="preserve">Premium </t>
  </si>
  <si>
    <t xml:space="preserve">Clothing </t>
  </si>
  <si>
    <t>Aggregated CPI index for Clothing (Clothing, footwear cols)</t>
  </si>
  <si>
    <t>Aggregated CPI index for Housing, Transport, Education, Fuel and Light etc.</t>
  </si>
  <si>
    <t>Aggregated CPI index of Pan, Tobacco, Recreation and Amusement, 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</si>
</sst>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/>
    <xf numFmtId="17" fontId="0" fillId="0" borderId="0" xfId="0" applyNumberFormat="1"/>
    <xf numFmtId="4" fontId="0" fillId="0" borderId="0" xfId="0" applyNumberFormat="1"/>
    <xf numFmtId="0" fontId="5" fillId="0" borderId="0" xfId="0" applyFont="1"/>
    <xf numFmtId="0" fontId="6" fillId="0" borderId="0" xfId="0" applyFont="1"/>
    <xf numFmtId="0" fontId="1" fillId="4" borderId="1" xfId="0" applyFont="1" applyFill="1" applyBorder="1"/>
    <xf numFmtId="0" fontId="0" fillId="5" borderId="1" xfId="0" applyFill="1" applyBorder="1"/>
    <xf numFmtId="0" fontId="0" fillId="0" borderId="1" xfId="0" applyBorder="1"/>
    <xf numFmtId="17" fontId="0" fillId="0" borderId="0" xfId="0" applyNumberFormat="1" applyAlignment="1">
      <alignment horizontal="left"/>
    </xf>
    <xf numFmtId="0" fontId="0" fillId="0" borderId="3" xfId="0" applyBorder="1"/>
    <xf numFmtId="0" fontId="0" fillId="0" borderId="4" xfId="0" applyBorder="1"/>
    <xf numFmtId="0" fontId="1" fillId="3" borderId="2" xfId="0" applyFont="1" applyFill="1" applyBorder="1"/>
    <xf numFmtId="0" fontId="7" fillId="3" borderId="2" xfId="0" applyFont="1" applyFill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9">
    <dxf>
      <numFmt numFmtId="4" formatCode="#,##0.00"/>
    </dxf>
    <dxf>
      <numFmt numFmtId="19" formatCode="dd/mm/yy"/>
    </dxf>
    <dxf>
      <numFmt numFmtId="22" formatCode="m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/>
              <a:t>Contribution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'Obj 1'!$K$8</c:f>
              <c:strCache>
                <c:ptCount val="1"/>
                <c:pt idx="0">
                  <c:v>Avg 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0-4A83-A9C1-D601E97E086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0-4A83-A9C1-D601E97E086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0-4A83-A9C1-D601E97E086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0-4A83-A9C1-D601E97E086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0-4A83-A9C1-D601E97E086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0-4A83-A9C1-D601E97E086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0D0-4A83-A9C1-D601E97E086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0D0-4A83-A9C1-D601E97E086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0D0-4A83-A9C1-D601E97E086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0D0-4A83-A9C1-D601E97E086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0D0-4A83-A9C1-D601E97E086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0D0-4A83-A9C1-D601E97E08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'Obj 1'!$G$9:$G$14</c:f>
              <c:strCache>
                <c:ptCount val="6"/>
                <c:pt idx="0">
                  <c:v>Food</c:v>
                </c:pt>
                <c:pt idx="1">
                  <c:v>Premium</c:v>
                </c:pt>
                <c:pt idx="2">
                  <c:v>Clothing</c:v>
                </c:pt>
                <c:pt idx="3">
                  <c:v>Essentials</c:v>
                </c:pt>
                <c:pt idx="4">
                  <c:v>Healthcare</c:v>
                </c:pt>
                <c:pt idx="5">
                  <c:v>Miscellaneous</c:v>
                </c:pt>
              </c:strCache>
            </c:strRef>
          </c:cat>
          <c:val>
            <c:numRef>
              <c:f>'Obj 1'!$K$9:$K$14</c:f>
              <c:numCache>
                <c:formatCode>General</c:formatCode>
                <c:ptCount val="6"/>
                <c:pt idx="0">
                  <c:v>49.63</c:v>
                </c:pt>
                <c:pt idx="1">
                  <c:v>11.99</c:v>
                </c:pt>
                <c:pt idx="2">
                  <c:v>11.82</c:v>
                </c:pt>
                <c:pt idx="3">
                  <c:v>18.809999999999999</c:v>
                </c:pt>
                <c:pt idx="4">
                  <c:v>3.98</c:v>
                </c:pt>
                <c:pt idx="5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D0-4A83-A9C1-D601E97E08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Year-on-Year Annual Inflation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 2'!$E$6</c:f>
              <c:strCache>
                <c:ptCount val="1"/>
                <c:pt idx="0">
                  <c:v>Annual Inflation %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'Obj 2'!$B$7:$B$12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'Obj 2'!$E$7:$E$12</c:f>
              <c:numCache>
                <c:formatCode>General</c:formatCode>
                <c:ptCount val="6"/>
                <c:pt idx="0">
                  <c:v>5.3</c:v>
                </c:pt>
                <c:pt idx="1">
                  <c:v>2.34</c:v>
                </c:pt>
                <c:pt idx="2">
                  <c:v>7.74</c:v>
                </c:pt>
                <c:pt idx="3">
                  <c:v>5.79</c:v>
                </c:pt>
                <c:pt idx="4">
                  <c:v>5.66</c:v>
                </c:pt>
                <c:pt idx="5">
                  <c:v>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7-487A-A5AF-E9A44F5570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05412031"/>
        <c:axId val="1805408671"/>
      </c:scatterChart>
      <c:valAx>
        <c:axId val="1805412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08671"/>
        <c:crosses val="autoZero"/>
        <c:crossBetween val="midCat"/>
      </c:valAx>
      <c:valAx>
        <c:axId val="1805408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Inflation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1203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Inflation Change Before and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4'!$C$20</c:f>
              <c:strCache>
                <c:ptCount val="1"/>
                <c:pt idx="0">
                  <c:v>Food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4'!$C$21:$C$25</c:f>
              <c:numCache>
                <c:formatCode>General</c:formatCode>
                <c:ptCount val="5"/>
                <c:pt idx="0">
                  <c:v>0.06</c:v>
                </c:pt>
                <c:pt idx="1">
                  <c:v>8.43</c:v>
                </c:pt>
                <c:pt idx="2">
                  <c:v>7.59</c:v>
                </c:pt>
                <c:pt idx="3">
                  <c:v>5.97</c:v>
                </c:pt>
                <c:pt idx="4">
                  <c:v>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80E-BE58-34E68E41540B}"/>
            </c:ext>
          </c:extLst>
        </c:ser>
        <c:ser>
          <c:idx val="1"/>
          <c:order val="1"/>
          <c:tx>
            <c:strRef>
              <c:f>'Obj 4'!$D$20</c:f>
              <c:strCache>
                <c:ptCount val="1"/>
                <c:pt idx="0">
                  <c:v>Health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4'!$D$21:$D$25</c:f>
              <c:numCache>
                <c:formatCode>General</c:formatCode>
                <c:ptCount val="5"/>
                <c:pt idx="0">
                  <c:v>8.41</c:v>
                </c:pt>
                <c:pt idx="1">
                  <c:v>3.76</c:v>
                </c:pt>
                <c:pt idx="2">
                  <c:v>5.91</c:v>
                </c:pt>
                <c:pt idx="3">
                  <c:v>6.49</c:v>
                </c:pt>
                <c:pt idx="4">
                  <c:v>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6-480E-BE58-34E68E41540B}"/>
            </c:ext>
          </c:extLst>
        </c:ser>
        <c:ser>
          <c:idx val="2"/>
          <c:order val="2"/>
          <c:tx>
            <c:strRef>
              <c:f>'Obj 4'!$E$20</c:f>
              <c:strCache>
                <c:ptCount val="1"/>
                <c:pt idx="0">
                  <c:v>Essentials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4'!$E$21:$E$25</c:f>
              <c:numCache>
                <c:formatCode>General</c:formatCode>
                <c:ptCount val="5"/>
                <c:pt idx="0">
                  <c:v>4.43</c:v>
                </c:pt>
                <c:pt idx="1">
                  <c:v>3.89</c:v>
                </c:pt>
                <c:pt idx="2">
                  <c:v>4.34</c:v>
                </c:pt>
                <c:pt idx="3">
                  <c:v>5.47</c:v>
                </c:pt>
                <c:pt idx="4">
                  <c:v>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F6-480E-BE58-34E68E415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69770479"/>
        <c:axId val="569769039"/>
      </c:barChart>
      <c:catAx>
        <c:axId val="56977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69039"/>
        <c:crosses val="autoZero"/>
        <c:auto val="1"/>
        <c:lblAlgn val="ctr"/>
        <c:lblOffset val="100"/>
        <c:noMultiLvlLbl val="0"/>
      </c:catAx>
      <c:valAx>
        <c:axId val="56976903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'Obj 1'!$K$8</c:f>
              <c:strCache>
                <c:ptCount val="1"/>
                <c:pt idx="0">
                  <c:v>Avg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E2-470F-A0DF-6CF4C01850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E2-470F-A0DF-6CF4C01850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E2-470F-A0DF-6CF4C01850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E2-470F-A0DF-6CF4C01850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E2-470F-A0DF-6CF4C01850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E2-470F-A0DF-6CF4C01850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8E2-470F-A0DF-6CF4C018508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8E2-470F-A0DF-6CF4C018508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8E2-470F-A0DF-6CF4C018508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8E2-470F-A0DF-6CF4C018508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8E2-470F-A0DF-6CF4C018508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8E2-470F-A0DF-6CF4C018508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 1'!$G$9:$G$14</c:f>
              <c:strCache>
                <c:ptCount val="6"/>
                <c:pt idx="0">
                  <c:v>Food</c:v>
                </c:pt>
                <c:pt idx="1">
                  <c:v>Premium</c:v>
                </c:pt>
                <c:pt idx="2">
                  <c:v>Clothing</c:v>
                </c:pt>
                <c:pt idx="3">
                  <c:v>Essentials</c:v>
                </c:pt>
                <c:pt idx="4">
                  <c:v>Healthcare</c:v>
                </c:pt>
                <c:pt idx="5">
                  <c:v>Miscellaneous</c:v>
                </c:pt>
              </c:strCache>
            </c:strRef>
          </c:cat>
          <c:val>
            <c:numRef>
              <c:f>'Obj 1'!$K$9:$K$14</c:f>
              <c:numCache>
                <c:formatCode>General</c:formatCode>
                <c:ptCount val="6"/>
                <c:pt idx="0">
                  <c:v>49.63</c:v>
                </c:pt>
                <c:pt idx="1">
                  <c:v>11.99</c:v>
                </c:pt>
                <c:pt idx="2">
                  <c:v>11.82</c:v>
                </c:pt>
                <c:pt idx="3">
                  <c:v>18.809999999999999</c:v>
                </c:pt>
                <c:pt idx="4">
                  <c:v>3.98</c:v>
                </c:pt>
                <c:pt idx="5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2-470F-A0DF-6CF4C01850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Year-on-Year Annual Inflation</a:t>
            </a:r>
            <a:r>
              <a:rPr lang="en-US" baseline="0"/>
              <a:t>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 2'!$E$6</c:f>
              <c:strCache>
                <c:ptCount val="1"/>
                <c:pt idx="0">
                  <c:v>Annual Inflation %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'Obj 2'!$B$7:$B$12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'Obj 2'!$E$7:$E$12</c:f>
              <c:numCache>
                <c:formatCode>General</c:formatCode>
                <c:ptCount val="6"/>
                <c:pt idx="0">
                  <c:v>5.3</c:v>
                </c:pt>
                <c:pt idx="1">
                  <c:v>2.34</c:v>
                </c:pt>
                <c:pt idx="2">
                  <c:v>7.74</c:v>
                </c:pt>
                <c:pt idx="3">
                  <c:v>5.79</c:v>
                </c:pt>
                <c:pt idx="4">
                  <c:v>5.66</c:v>
                </c:pt>
                <c:pt idx="5">
                  <c:v>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3-4DE2-8995-EEA5A63022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05412031"/>
        <c:axId val="1805408671"/>
      </c:scatterChart>
      <c:valAx>
        <c:axId val="18054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08671"/>
        <c:crosses val="autoZero"/>
        <c:crossBetween val="midCat"/>
      </c:valAx>
      <c:valAx>
        <c:axId val="18054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</a:t>
                </a:r>
                <a:r>
                  <a:rPr lang="en-IN" baseline="0"/>
                  <a:t> Inflation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1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Inflation Change</a:t>
            </a:r>
            <a:r>
              <a:rPr lang="en-IN" baseline="0"/>
              <a:t> Before Covid and After Covid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4'!$C$20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4'!$C$21:$C$25</c:f>
              <c:numCache>
                <c:formatCode>General</c:formatCode>
                <c:ptCount val="5"/>
                <c:pt idx="0">
                  <c:v>0.06</c:v>
                </c:pt>
                <c:pt idx="1">
                  <c:v>8.43</c:v>
                </c:pt>
                <c:pt idx="2">
                  <c:v>7.59</c:v>
                </c:pt>
                <c:pt idx="3">
                  <c:v>5.97</c:v>
                </c:pt>
                <c:pt idx="4">
                  <c:v>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D-4B44-BC59-E7D719FCAA0B}"/>
            </c:ext>
          </c:extLst>
        </c:ser>
        <c:ser>
          <c:idx val="1"/>
          <c:order val="1"/>
          <c:tx>
            <c:strRef>
              <c:f>'Obj 4'!$D$20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4'!$D$21:$D$25</c:f>
              <c:numCache>
                <c:formatCode>General</c:formatCode>
                <c:ptCount val="5"/>
                <c:pt idx="0">
                  <c:v>8.41</c:v>
                </c:pt>
                <c:pt idx="1">
                  <c:v>3.76</c:v>
                </c:pt>
                <c:pt idx="2">
                  <c:v>5.91</c:v>
                </c:pt>
                <c:pt idx="3">
                  <c:v>6.49</c:v>
                </c:pt>
                <c:pt idx="4">
                  <c:v>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D-4B44-BC59-E7D719FCAA0B}"/>
            </c:ext>
          </c:extLst>
        </c:ser>
        <c:ser>
          <c:idx val="2"/>
          <c:order val="2"/>
          <c:tx>
            <c:strRef>
              <c:f>'Obj 4'!$E$20</c:f>
              <c:strCache>
                <c:ptCount val="1"/>
                <c:pt idx="0">
                  <c:v>Essentials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4'!$E$21:$E$25</c:f>
              <c:numCache>
                <c:formatCode>General</c:formatCode>
                <c:ptCount val="5"/>
                <c:pt idx="0">
                  <c:v>4.43</c:v>
                </c:pt>
                <c:pt idx="1">
                  <c:v>3.89</c:v>
                </c:pt>
                <c:pt idx="2">
                  <c:v>4.34</c:v>
                </c:pt>
                <c:pt idx="3">
                  <c:v>5.47</c:v>
                </c:pt>
                <c:pt idx="4">
                  <c:v>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CD-4B44-BC59-E7D719FCAA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9770479"/>
        <c:axId val="569769039"/>
      </c:barChart>
      <c:catAx>
        <c:axId val="56977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69039"/>
        <c:crosses val="autoZero"/>
        <c:auto val="1"/>
        <c:lblAlgn val="ctr"/>
        <c:lblOffset val="100"/>
        <c:noMultiLvlLbl val="0"/>
      </c:catAx>
      <c:valAx>
        <c:axId val="56976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Month-on-Month Inflation Change for Food Bucket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Month-on-Month Inflation Change for Food Bucket</a:t>
          </a:r>
        </a:p>
      </cx:txPr>
    </cx:title>
    <cx:plotArea>
      <cx:plotAreaRegion>
        <cx:series layoutId="waterfall" uniqueId="{1168D58D-DABB-458E-BCD7-54C80AB451F8}">
          <cx:tx>
            <cx:txData>
              <cx:f>_xlchart.v1.1</cx:f>
              <cx:v>Monthly Change 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Months</a:t>
              </a:r>
            </a:p>
          </cx:txPr>
        </cx:title>
        <cx:majorGridlines/>
        <cx:tickLabels/>
      </cx:axis>
      <cx:axis id="1">
        <cx:valScaling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Month-on-Month Inflation Change for Food Bucket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Month-on-Month Inflation Change for Food Bucket</a:t>
          </a:r>
        </a:p>
      </cx:txPr>
    </cx:title>
    <cx:plotArea>
      <cx:plotAreaRegion>
        <cx:series layoutId="waterfall" uniqueId="{1168D58D-DABB-458E-BCD7-54C80AB451F8}">
          <cx:tx>
            <cx:txData>
              <cx:f>_xlchart.v1.10</cx:f>
              <cx:v>Monthly Change 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Months</a:t>
              </a:r>
            </a:p>
          </cx:txPr>
        </cx:title>
        <cx:tickLabels/>
      </cx:axis>
      <cx:axis id="1">
        <cx:valScaling/>
        <cx:title>
          <cx:tx>
            <cx:txData>
              <cx:v>Inflation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Inflation %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Contribution of Food Bucket Categories in Inflation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Contribution of Food Bucket Categories in Inflation Change</a:t>
          </a:r>
        </a:p>
      </cx:txPr>
    </cx:title>
    <cx:plotArea>
      <cx:plotAreaRegion>
        <cx:series layoutId="waterfall" uniqueId="{CCDE3866-8041-4646-B9F2-40A40B6E2EEB}" formatIdx="0">
          <cx:tx>
            <cx:txData>
              <cx:f>_xlchart.v1.7</cx:f>
              <cx:v>Absolute Inflation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"/>
        <cx:title>
          <cx:tx>
            <cx:txData>
              <cx:v>Categories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Categories</a:t>
              </a:r>
            </a:p>
          </cx:txPr>
        </cx:title>
        <cx:tickLabels/>
      </cx:axis>
      <cx:axis id="1">
        <cx:valScaling/>
        <cx:title>
          <cx:tx>
            <cx:txData>
              <cx:v>Inflation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Inflation %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28576</xdr:rowOff>
    </xdr:from>
    <xdr:to>
      <xdr:col>20</xdr:col>
      <xdr:colOff>276225</xdr:colOff>
      <xdr:row>1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2D706B-8C63-645C-1B5F-06014CDDB7F3}"/>
            </a:ext>
          </a:extLst>
        </xdr:cNvPr>
        <xdr:cNvSpPr/>
      </xdr:nvSpPr>
      <xdr:spPr>
        <a:xfrm>
          <a:off x="28574" y="28576"/>
          <a:ext cx="12439651" cy="323849"/>
        </a:xfrm>
        <a:prstGeom prst="rect">
          <a:avLst/>
        </a:prstGeom>
        <a:solidFill>
          <a:sysClr val="window" lastClr="FFFFFF"/>
        </a:solidFill>
        <a:ln w="19050">
          <a:solidFill>
            <a:schemeClr val="bg2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accent4"/>
              </a:solidFill>
            </a:rPr>
            <a:t>Analysis</a:t>
          </a:r>
          <a:r>
            <a:rPr lang="en-IN" sz="1800" b="1" baseline="0">
              <a:solidFill>
                <a:schemeClr val="accent4"/>
              </a:solidFill>
            </a:rPr>
            <a:t> of CPI Inflation in India</a:t>
          </a:r>
          <a:endParaRPr lang="en-IN" sz="1800" b="1">
            <a:solidFill>
              <a:schemeClr val="accent4"/>
            </a:solidFill>
          </a:endParaRPr>
        </a:p>
      </xdr:txBody>
    </xdr:sp>
    <xdr:clientData/>
  </xdr:twoCellAnchor>
  <xdr:twoCellAnchor>
    <xdr:from>
      <xdr:col>0</xdr:col>
      <xdr:colOff>19049</xdr:colOff>
      <xdr:row>1</xdr:row>
      <xdr:rowOff>180976</xdr:rowOff>
    </xdr:from>
    <xdr:to>
      <xdr:col>20</xdr:col>
      <xdr:colOff>276224</xdr:colOff>
      <xdr:row>3</xdr:row>
      <xdr:rowOff>66676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C0DE8C-9EC2-389F-EF3C-E168F0FC41A8}"/>
            </a:ext>
          </a:extLst>
        </xdr:cNvPr>
        <xdr:cNvSpPr/>
      </xdr:nvSpPr>
      <xdr:spPr>
        <a:xfrm>
          <a:off x="19049" y="371476"/>
          <a:ext cx="1244917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rgbClr val="FF0000"/>
              </a:solidFill>
            </a:rPr>
            <a:t>Sub Header:</a:t>
          </a:r>
          <a:r>
            <a:rPr lang="en-IN" sz="1200">
              <a:solidFill>
                <a:schemeClr val="accent4"/>
              </a:solidFill>
            </a:rPr>
            <a:t> </a:t>
          </a:r>
          <a:r>
            <a:rPr lang="en-IN" sz="1200">
              <a:solidFill>
                <a:srgbClr val="0070C0"/>
              </a:solidFill>
            </a:rPr>
            <a:t>Analyzed</a:t>
          </a:r>
          <a:r>
            <a:rPr lang="en-IN" sz="1200" baseline="0">
              <a:solidFill>
                <a:srgbClr val="0070C0"/>
              </a:solidFill>
            </a:rPr>
            <a:t> different segments based on Month, Year and Sector, for different categories i.e. Food, Health, Essentials etc.</a:t>
          </a:r>
          <a:endParaRPr lang="en-IN" sz="1200">
            <a:solidFill>
              <a:srgbClr val="0070C0"/>
            </a:solidFill>
          </a:endParaRPr>
        </a:p>
      </xdr:txBody>
    </xdr:sp>
    <xdr:clientData/>
  </xdr:twoCellAnchor>
  <xdr:twoCellAnchor>
    <xdr:from>
      <xdr:col>16</xdr:col>
      <xdr:colOff>257175</xdr:colOff>
      <xdr:row>3</xdr:row>
      <xdr:rowOff>95250</xdr:rowOff>
    </xdr:from>
    <xdr:to>
      <xdr:col>20</xdr:col>
      <xdr:colOff>285750</xdr:colOff>
      <xdr:row>14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1DBDEA-A976-412C-B47C-E5F88129B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333379</xdr:colOff>
      <xdr:row>14</xdr:row>
      <xdr:rowOff>119064</xdr:rowOff>
    </xdr:from>
    <xdr:to>
      <xdr:col>16</xdr:col>
      <xdr:colOff>214315</xdr:colOff>
      <xdr:row>26</xdr:row>
      <xdr:rowOff>154781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628E63-0B23-4556-B6DD-C7F0AC292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47626</xdr:colOff>
      <xdr:row>14</xdr:row>
      <xdr:rowOff>130968</xdr:rowOff>
    </xdr:from>
    <xdr:to>
      <xdr:col>8</xdr:col>
      <xdr:colOff>297656</xdr:colOff>
      <xdr:row>26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47E682F-7EAF-4B2E-B80C-A9FEF70DAD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6" y="2797968"/>
              <a:ext cx="5107780" cy="2321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345283</xdr:colOff>
      <xdr:row>3</xdr:row>
      <xdr:rowOff>95250</xdr:rowOff>
    </xdr:from>
    <xdr:to>
      <xdr:col>16</xdr:col>
      <xdr:colOff>226219</xdr:colOff>
      <xdr:row>14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F18B7F-25F8-4458-90EC-6D7A64141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59531</xdr:colOff>
      <xdr:row>3</xdr:row>
      <xdr:rowOff>95250</xdr:rowOff>
    </xdr:from>
    <xdr:to>
      <xdr:col>8</xdr:col>
      <xdr:colOff>309562</xdr:colOff>
      <xdr:row>14</xdr:row>
      <xdr:rowOff>71437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00C0B59-EF6C-345B-F356-412D9FEE5817}"/>
            </a:ext>
          </a:extLst>
        </xdr:cNvPr>
        <xdr:cNvSpPr/>
      </xdr:nvSpPr>
      <xdr:spPr>
        <a:xfrm>
          <a:off x="59531" y="666750"/>
          <a:ext cx="5126831" cy="20716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i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From June 2022 to May 2023, the biggest monthly rise was 1% (June 2022); lowest was -0.6% (Feb 2023).</a:t>
          </a:r>
        </a:p>
        <a:p>
          <a:pPr algn="l"/>
          <a:r>
            <a:rPr lang="en-IN" sz="1200" b="1" i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Spices rose 16.5% in the last year due to supply shortages and high export demand.</a:t>
          </a:r>
        </a:p>
        <a:p>
          <a:pPr algn="l"/>
          <a:endParaRPr lang="en-IN" sz="1200" b="1" i="1">
            <a:solidFill>
              <a:schemeClr val="accent4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i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COVID-19 impact: Pre-pandemic, food inflation surged; after COVID, food inflation cooled while Essentials and Healthcare climbed steadily.</a:t>
          </a:r>
        </a:p>
        <a:p>
          <a:pPr algn="l"/>
          <a:endParaRPr lang="en-IN" sz="1200" b="1" i="1">
            <a:solidFill>
              <a:schemeClr val="accent4"/>
            </a:solidFill>
          </a:endParaRPr>
        </a:p>
        <a:p>
          <a:pPr algn="l"/>
          <a:r>
            <a:rPr lang="en-IN" sz="1200" b="1" i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From 2021 to 2023, global crude oil prices strongly influenced inflation in food and essentials, with correlation values of 0.7 and 0.67.</a:t>
          </a:r>
          <a:endParaRPr lang="en-IN" sz="1200" b="1" i="1">
            <a:solidFill>
              <a:schemeClr val="accent4"/>
            </a:solidFill>
          </a:endParaRP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21</xdr:col>
      <xdr:colOff>571500</xdr:colOff>
      <xdr:row>24</xdr:row>
      <xdr:rowOff>76200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A6928585-8AD4-6371-C0A5-6F2F7F491C92}"/>
            </a:ext>
          </a:extLst>
        </xdr:cNvPr>
        <xdr:cNvSpPr txBox="1">
          <a:spLocks noChangeArrowheads="1"/>
        </xdr:cNvSpPr>
      </xdr:nvSpPr>
      <xdr:spPr bwMode="auto">
        <a:xfrm>
          <a:off x="12801600" y="4381500"/>
          <a:ext cx="5715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Year 2019 marks the sharpest inflation change since 2017, with an increase of nearly 8%. </a:t>
          </a:r>
        </a:p>
      </xdr:txBody>
    </xdr:sp>
    <xdr:clientData/>
  </xdr:twoCellAnchor>
  <xdr:twoCellAnchor>
    <xdr:from>
      <xdr:col>16</xdr:col>
      <xdr:colOff>261937</xdr:colOff>
      <xdr:row>14</xdr:row>
      <xdr:rowOff>119061</xdr:rowOff>
    </xdr:from>
    <xdr:to>
      <xdr:col>20</xdr:col>
      <xdr:colOff>285749</xdr:colOff>
      <xdr:row>27</xdr:row>
      <xdr:rowOff>130968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DAABF7-8960-4CD6-CED2-2ACA3A592565}"/>
            </a:ext>
          </a:extLst>
        </xdr:cNvPr>
        <xdr:cNvSpPr/>
      </xdr:nvSpPr>
      <xdr:spPr>
        <a:xfrm>
          <a:off x="10015537" y="2786061"/>
          <a:ext cx="2462212" cy="248840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>
            <a:solidFill>
              <a:schemeClr val="accent4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Food makes up nearly 50% of total inflation, followed by Essentials at 19%.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>
            <a:solidFill>
              <a:schemeClr val="accent4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In 2019, overall inflation shot up almost 8%; food categories were responsible for most of that spike.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050" b="1">
            <a:solidFill>
              <a:schemeClr val="accent4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398858</xdr:colOff>
      <xdr:row>5</xdr:row>
      <xdr:rowOff>154782</xdr:rowOff>
    </xdr:from>
    <xdr:to>
      <xdr:col>19</xdr:col>
      <xdr:colOff>404812</xdr:colOff>
      <xdr:row>24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5CA17-C60E-D5B8-0C2B-30A9F7456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</xdr:row>
      <xdr:rowOff>4761</xdr:rowOff>
    </xdr:from>
    <xdr:to>
      <xdr:col>15</xdr:col>
      <xdr:colOff>514350</xdr:colOff>
      <xdr:row>21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20200B-D6EA-E116-9D5B-05DE758CB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500064</xdr:colOff>
      <xdr:row>6</xdr:row>
      <xdr:rowOff>85725</xdr:rowOff>
    </xdr:from>
    <xdr:to>
      <xdr:col>26</xdr:col>
      <xdr:colOff>159545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498855F-E957-D98F-FFD5-0C3F105597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58639" y="1228725"/>
              <a:ext cx="7088981" cy="2771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1191</xdr:colOff>
      <xdr:row>24</xdr:row>
      <xdr:rowOff>170258</xdr:rowOff>
    </xdr:from>
    <xdr:to>
      <xdr:col>16</xdr:col>
      <xdr:colOff>95250</xdr:colOff>
      <xdr:row>39</xdr:row>
      <xdr:rowOff>55958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994620F-735C-F2CF-A364-DF6A6A6B1C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066" y="4742258"/>
              <a:ext cx="699015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7</xdr:row>
      <xdr:rowOff>23811</xdr:rowOff>
    </xdr:from>
    <xdr:to>
      <xdr:col>16</xdr:col>
      <xdr:colOff>304800</xdr:colOff>
      <xdr:row>23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BD175-9B95-399B-8D0C-0C98E43AD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A23005-AF38-4CA6-A44E-D4CF2A463901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5E2B505-028E-40E2-B897-CA7BE677892C}" name="Table12" displayName="Table12" ref="C3:D37" totalsRowShown="0">
  <autoFilter ref="C3:D37" xr:uid="{95E2B505-028E-40E2-B897-CA7BE677892C}"/>
  <tableColumns count="2">
    <tableColumn id="1" xr3:uid="{B55652FE-0B01-4FA7-9060-962FB5FF9139}" name="Column Name"/>
    <tableColumn id="2" xr3:uid="{B1556BBA-E23B-4007-AEEB-D7DB66DB71AA}" name="Description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3BE6D8-04F5-42D7-B991-9A49EE46721B}" name="Table3" displayName="Table3" ref="A8:E34" totalsRowShown="0">
  <autoFilter ref="A8:E34" xr:uid="{D43BE6D8-04F5-42D7-B991-9A49EE46721B}"/>
  <tableColumns count="5">
    <tableColumn id="1" xr3:uid="{068DE347-BB70-47DB-8745-30256C84A2FF}" name="Categories"/>
    <tableColumn id="2" xr3:uid="{4FC0E88E-2BDD-4797-816C-73A82025974C}" name="Rural" dataDxfId="18"/>
    <tableColumn id="3" xr3:uid="{ACB93567-2B76-446A-A2BF-FEC37D9DFEEA}" name="Urban" dataDxfId="17"/>
    <tableColumn id="4" xr3:uid="{42464719-B86C-4F04-A097-7B42C429EA7E}" name="Rural+Urban" dataDxfId="16"/>
    <tableColumn id="5" xr3:uid="{87FAEB85-6311-4275-9C5D-CB3D9FD93718}" name="Broader Category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0D717B-F99E-453C-82D4-F106B9154B43}" name="Table6" displayName="Table6" ref="G8:K14" totalsRowShown="0">
  <autoFilter ref="G8:K14" xr:uid="{560D717B-F99E-453C-82D4-F106B9154B43}"/>
  <tableColumns count="5">
    <tableColumn id="1" xr3:uid="{86A8874F-6837-4D39-BBAC-A984E4E078DB}" name="Broader Category"/>
    <tableColumn id="2" xr3:uid="{474A58F4-6D3C-4170-805D-2EAB6CBC051B}" name="Rural">
      <calculatedColumnFormula>ROUND(SUMIFS(Table3[Rural],Table3[Broader Category],G9)/SUM(Table3[Rural])*100,2)</calculatedColumnFormula>
    </tableColumn>
    <tableColumn id="3" xr3:uid="{CFA97091-744F-4146-88CF-513FA6702894}" name="Urban">
      <calculatedColumnFormula>ROUND(SUMIFS(Table3[Urban],Table3[Broader Category],G9)/SUM(Table3[Urban])*100,2)</calculatedColumnFormula>
    </tableColumn>
    <tableColumn id="4" xr3:uid="{03B30A68-94AC-468C-94AE-4C39759A1B35}" name="Rural+Urban">
      <calculatedColumnFormula>ROUND(SUMIFS(Table3[Rural+Urban],Table3[Broader Category],G9)/SUM(Table3[Rural+Urban])*100,2)</calculatedColumnFormula>
    </tableColumn>
    <tableColumn id="5" xr3:uid="{3FA5187B-9B2F-4F13-82DD-2928B641CA3D}" name="Avg Total">
      <calculatedColumnFormula>ROUND(AVERAGE(H9:J9),2)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FA9183-E118-4668-A48C-71DEBDC67A89}" name="Table7" displayName="Table7" ref="A6:E12" totalsRowShown="0">
  <autoFilter ref="A6:E12" xr:uid="{A8FA9183-E118-4668-A48C-71DEBDC67A89}"/>
  <tableColumns count="5">
    <tableColumn id="1" xr3:uid="{AA5B3D55-9D62-419E-AC74-D08DA9DCAD54}" name="Sector"/>
    <tableColumn id="2" xr3:uid="{0902CA8D-8DBD-468D-B7A2-BBBE681941F0}" name="Year"/>
    <tableColumn id="3" xr3:uid="{3713D1A6-6D7E-428D-AF2E-82E723B08ACA}" name="Jan CPI">
      <calculatedColumnFormula array="1">_xlfn._xlws.FILTER(Table2[General index],(Table2[Sector]='Obj 2'!$A7)*(Table2[Year]='Obj 2'!$B7)*(LEFT(Table2[Month],3)=LEFT(C$6,3)))</calculatedColumnFormula>
    </tableColumn>
    <tableColumn id="4" xr3:uid="{A24A012B-278E-47DF-A1E2-69AB1BCDB3D6}" name="Dec CPI">
      <calculatedColumnFormula array="1">_xlfn._xlws.FILTER(Table2[General index],(Table2[Sector]='Obj 2'!$A7)*(Table2[Year]='Obj 2'!$B7)*(LEFT(Table2[Month],3)=LEFT(D$6,3)))</calculatedColumnFormula>
    </tableColumn>
    <tableColumn id="5" xr3:uid="{B6108233-BC25-4361-A787-9BD5DF81438E}" name="Annual Inflation %" dataDxfId="15">
      <calculatedColumnFormula>ROUND((D7-C7)/C7*100,2)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18E99A-1076-4FA7-A813-B63FECCCDCC3}" name="Table9" displayName="Table9" ref="A8:Q21" totalsRowShown="0">
  <autoFilter ref="A8:Q21" xr:uid="{4718E99A-1076-4FA7-A813-B63FECCCDCC3}"/>
  <tableColumns count="17">
    <tableColumn id="1" xr3:uid="{8F29D8E4-5BC8-4739-9D69-BF4AF56A3A6A}" name="Sector"/>
    <tableColumn id="2" xr3:uid="{76B9BDDD-C98D-4CF7-A6B5-EF5750FB81B2}" name="Month"/>
    <tableColumn id="3" xr3:uid="{9A4004CA-095A-4D6C-BD2E-77B00ABBA738}" name="Cereals and products"/>
    <tableColumn id="4" xr3:uid="{213735BD-DE54-416A-B5EC-62671574D4CE}" name="Meat and fish"/>
    <tableColumn id="5" xr3:uid="{A11AB818-32B8-4281-82CA-A12AF8B644D0}" name="Egg"/>
    <tableColumn id="6" xr3:uid="{362FD954-10E8-4575-A1B8-05DCF3844B12}" name="Milk and products"/>
    <tableColumn id="7" xr3:uid="{72CE55FA-F89C-40C3-8B27-4DBA04A9C9C4}" name="Oils and fats"/>
    <tableColumn id="8" xr3:uid="{304B7479-0916-42D3-91E2-C167C377C7B2}" name="Fruits"/>
    <tableColumn id="9" xr3:uid="{3F05FD28-86B7-4F65-8584-D09F4CC100CE}" name="Vegetables"/>
    <tableColumn id="10" xr3:uid="{9760E5A6-DD3E-432C-84EF-49642D6D41A5}" name="Pulses and products"/>
    <tableColumn id="11" xr3:uid="{9BD60076-88F0-4965-B702-0BA0ABDAEB7E}" name="Sugar and Confectionery"/>
    <tableColumn id="12" xr3:uid="{11C883E9-D66B-4EFF-B289-7087AACEC42F}" name="Spices"/>
    <tableColumn id="13" xr3:uid="{86487DA8-1E98-458A-B3C3-B1E83A3F32F3}" name="Non-alcoholic beverages"/>
    <tableColumn id="14" xr3:uid="{251102B6-5AAF-4E0C-AE3A-ACEA8A47E548}" name="Prepared meals, snacks, sweets etc."/>
    <tableColumn id="15" xr3:uid="{92F5932C-89D4-4E29-A207-61895BB06BD7}" name="Food and beverages"/>
    <tableColumn id="17" xr3:uid="{42D311D9-939E-4045-96F1-36C7C47D7CC7}" name="Column1" dataDxfId="14">
      <calculatedColumnFormula>SUM(Table9[[#This Row],[Cereals and products]:[Food and beverages]])</calculatedColumnFormula>
    </tableColumn>
    <tableColumn id="16" xr3:uid="{A6C528B8-DA50-468E-9CFD-6710DBB936D3}" name="Monthly Change %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1705EF-7087-4004-8466-9E1F38766F88}" name="Table10" displayName="Table10" ref="A26:B39" totalsRowShown="0">
  <autoFilter ref="A26:B39" xr:uid="{711705EF-7087-4004-8466-9E1F38766F88}"/>
  <tableColumns count="2">
    <tableColumn id="1" xr3:uid="{CE604F8E-3E4F-4D05-AE51-1337F48CEE54}" name="Food Bucked Sub Categories"/>
    <tableColumn id="2" xr3:uid="{0063AE6A-47D0-45A6-84B0-91A7B48ACEA3}" name="Absolute Inflation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3C84DA-3DC4-44E0-8309-0A52CBB29B5E}" name="Table4" displayName="Table4" ref="A7:E17" totalsRowShown="0">
  <autoFilter ref="A7:E17" xr:uid="{903C84DA-3DC4-44E0-8309-0A52CBB29B5E}"/>
  <tableColumns count="5">
    <tableColumn id="1" xr3:uid="{674964A3-21E6-437D-BA98-1561E7E04B2F}" name="Sector"/>
    <tableColumn id="14" xr3:uid="{27395FD3-D258-45E6-BE3F-5E6A258D072E}" name="Year" dataDxfId="13"/>
    <tableColumn id="4" xr3:uid="{1FFC1AA2-40FA-4236-A0FA-A42566A865D9}" name="Food"/>
    <tableColumn id="5" xr3:uid="{A60DEC53-5DA8-45ED-9ADF-0506F0F3E535}" name="Healthcare"/>
    <tableColumn id="8" xr3:uid="{AD0E040D-7707-414F-A9FB-0456F0C62596}" name="Essential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603069-81D6-4D3F-8D59-9FD02D16524E}" name="Table11" displayName="Table11" ref="B20:E25" totalsRowShown="0">
  <autoFilter ref="B20:E25" xr:uid="{7A603069-81D6-4D3F-8D59-9FD02D16524E}"/>
  <tableColumns count="4">
    <tableColumn id="1" xr3:uid="{80200756-A128-4879-8065-71E71C47D48E}" name="Year"/>
    <tableColumn id="2" xr3:uid="{442DAC30-123F-4C0F-BB4F-87AE55D5536A}" name="Food" dataDxfId="12"/>
    <tableColumn id="3" xr3:uid="{37839798-A2F9-45FF-93B4-2EA8E6B61F7F}" name="Health"/>
    <tableColumn id="4" xr3:uid="{B6806B2A-29AC-4269-A07D-E61D80DD49B2}" name="Essentials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1E1060-9BF9-4C3A-94A4-0837A11F4102}" name="Table8" displayName="Table8" ref="A5:AF12" totalsRowShown="0">
  <autoFilter ref="A5:AF12" xr:uid="{441E1060-9BF9-4C3A-94A4-0837A11F4102}"/>
  <tableColumns count="32">
    <tableColumn id="2" xr3:uid="{7382F53A-BD34-4D12-99BD-105CF394785F}" name="Sector"/>
    <tableColumn id="33" xr3:uid="{5872A96C-E867-4179-A7A4-6CD5B553B1D0}" name="Categories"/>
    <tableColumn id="32" xr3:uid="{FFB4D7BC-4179-4FBA-A525-F38B21C3F07F}" name="Correlation" dataDxfId="11">
      <calculatedColumnFormula>ROUND(CORREL(Table8[[#This Row],[Jan-2021]:[May-2023]],$D$12:$AF$12),2)</calculatedColumnFormula>
    </tableColumn>
    <tableColumn id="3" xr3:uid="{CBC25DED-F6EE-4295-8472-74393953ED21}" name="Jan-2021"/>
    <tableColumn id="4" xr3:uid="{A227653F-BB37-4B84-9781-5E0795A54820}" name="Feb-2021"/>
    <tableColumn id="5" xr3:uid="{0F7813AE-526D-4FD6-8FF9-6A8B201C22B6}" name="Mar-2021"/>
    <tableColumn id="6" xr3:uid="{EDA4702A-580D-4205-AA00-6D595BBB6788}" name="Apr-2021"/>
    <tableColumn id="7" xr3:uid="{508CB5A1-4B72-44C8-8E92-DB533B9AB752}" name="May-2021"/>
    <tableColumn id="8" xr3:uid="{43C91821-8C08-454C-A071-158D261DE44D}" name="Jun-2021"/>
    <tableColumn id="9" xr3:uid="{54AC3FBC-1200-4630-8031-66FB9864CBC9}" name="Jul-2021"/>
    <tableColumn id="10" xr3:uid="{FB3790CD-5F70-4CA9-B5AB-999449FDABB2}" name="Aug-2021"/>
    <tableColumn id="11" xr3:uid="{22EE0EED-647E-4788-8522-90EA9DBCBED1}" name="Sep-2021"/>
    <tableColumn id="12" xr3:uid="{440D88B8-B58C-4092-9781-3ADD6170B1B8}" name="Oct-2021"/>
    <tableColumn id="13" xr3:uid="{154315BB-18A8-4ACC-9930-934A83E7927E}" name="Nov-2021"/>
    <tableColumn id="14" xr3:uid="{D58570B3-C6F1-4185-8BB9-476DDE28E88D}" name="Dec-2021"/>
    <tableColumn id="15" xr3:uid="{F047083B-22CE-4934-84AF-FC058E77E865}" name="Jan-2022"/>
    <tableColumn id="16" xr3:uid="{8076EA97-4AE8-43C3-8338-C8D8B31FDA59}" name="Feb-2022"/>
    <tableColumn id="17" xr3:uid="{22D51AAE-EDEE-40FB-AD3E-ED035F2120B2}" name="Mar-2022"/>
    <tableColumn id="18" xr3:uid="{3FB270A4-B710-4A26-9C9C-19E163533E8B}" name="Apr-2022"/>
    <tableColumn id="19" xr3:uid="{D184E98D-4BE5-4290-B69D-799D5CC34B61}" name="May-2022"/>
    <tableColumn id="20" xr3:uid="{8525F1FA-4E0E-408D-A46C-00454C5E39C9}" name="Jun-2022"/>
    <tableColumn id="21" xr3:uid="{7CE391B8-C34B-4E5B-90CA-ABA69AB92F2E}" name="Jul-2022"/>
    <tableColumn id="22" xr3:uid="{126FB61E-3823-4067-BD2B-100361039383}" name="Aug-2022"/>
    <tableColumn id="23" xr3:uid="{639A2E30-FC2F-4F49-B9B9-ADD4845B3562}" name="Sep-2022"/>
    <tableColumn id="24" xr3:uid="{A4969448-376F-48D0-8DF0-D2D42073678D}" name="Oct-2022"/>
    <tableColumn id="25" xr3:uid="{568CAAC2-BC5D-422C-853D-5044D5D27A3E}" name="Nov-2022"/>
    <tableColumn id="26" xr3:uid="{518BEAEC-9B4E-4020-BF30-32ECC4BCC6D7}" name="Dec-2022"/>
    <tableColumn id="27" xr3:uid="{9C0C30B5-BBCC-49F1-A939-B44B91E709D3}" name="Jan-2023"/>
    <tableColumn id="28" xr3:uid="{3038CA9B-7EBC-419C-9421-8BA24D199673}" name="Feb-2023"/>
    <tableColumn id="29" xr3:uid="{0C1D61B7-5B85-4696-AF1B-534BDA7EBC7F}" name="Mar-2023"/>
    <tableColumn id="30" xr3:uid="{A7311053-F40C-44B3-A4B9-6B58158E4FD8}" name="Apr-2023"/>
    <tableColumn id="31" xr3:uid="{D7FEE2EF-B8F5-41BA-9C3B-9235F93CD979}" name="May-2023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23AA2-7201-4206-A2E1-285FB8E3A89A}" name="Table2" displayName="Table2" ref="A1:AI373" totalsRowShown="0">
  <autoFilter ref="A1:AI373" xr:uid="{B5B23AA2-7201-4206-A2E1-285FB8E3A89A}"/>
  <tableColumns count="35">
    <tableColumn id="1" xr3:uid="{7CF7E56C-A686-43FE-B85D-0CDAC91A23A1}" name="Sector"/>
    <tableColumn id="2" xr3:uid="{0A1B6E94-4E8F-4B2E-AF8A-E1CE57189C75}" name="Year"/>
    <tableColumn id="3" xr3:uid="{B2FD5969-97E0-426B-9046-096315EACC10}" name="Month"/>
    <tableColumn id="4" xr3:uid="{DD0DB51B-C5BA-4056-B3E7-2F81EC08D092}" name="Date" dataDxfId="10"/>
    <tableColumn id="5" xr3:uid="{49ACBC67-9E95-4447-B82B-5802020150D7}" name="Cereals and products"/>
    <tableColumn id="6" xr3:uid="{4CFD6A90-4D20-4069-A46B-43F1DD3CBF20}" name="Meat and fish"/>
    <tableColumn id="7" xr3:uid="{17B37399-9FD0-4CB8-B740-C9F22829C44F}" name="Egg"/>
    <tableColumn id="8" xr3:uid="{76E9D343-C182-40EE-9A45-C3604C46DBB5}" name="Milk and products"/>
    <tableColumn id="9" xr3:uid="{FFA4191E-1660-48A7-867A-671C35BB3B1F}" name="Oils and fats"/>
    <tableColumn id="10" xr3:uid="{16F5AEA1-2CDF-4B0D-B55E-6CB3CD395F3C}" name="Fruits"/>
    <tableColumn id="11" xr3:uid="{96962610-1BF9-4870-8B64-61EB2D497631}" name="Vegetables"/>
    <tableColumn id="12" xr3:uid="{A6E66AA7-DBB7-4E6D-A000-E58D6E200E92}" name="Pulses and products"/>
    <tableColumn id="13" xr3:uid="{405919C2-2FD1-4DB1-9EF0-50CE2B2ED6E6}" name="Sugar and Confectionery"/>
    <tableColumn id="14" xr3:uid="{0872C45E-3C04-4C08-9785-608502D6092B}" name="Spices"/>
    <tableColumn id="15" xr3:uid="{232B20F7-72ED-4AD4-B9CF-808573785503}" name="Non-alcoholic beverages"/>
    <tableColumn id="16" xr3:uid="{37C53DB4-5434-4DD8-97AA-BEA69EFDC721}" name="Prepared meals, snacks, sweets etc."/>
    <tableColumn id="17" xr3:uid="{C8585C19-A2A7-41B6-A2AC-A9D3E90B1707}" name="Food and beverages"/>
    <tableColumn id="18" xr3:uid="{9E2858D8-088A-40C3-9CF5-9B0B643E2849}" name="Pan, tobacco and intoxicants"/>
    <tableColumn id="19" xr3:uid="{E94E1CBD-022B-45E7-A293-E490520A47D2}" name="Clothing"/>
    <tableColumn id="20" xr3:uid="{87486EAC-AA3B-4DDC-BB10-96B9B9185448}" name="Footwear"/>
    <tableColumn id="21" xr3:uid="{89F47303-0085-46FA-8F04-24790BE5A042}" name="Clothing and footwear"/>
    <tableColumn id="22" xr3:uid="{D874D108-4038-4BA0-88B9-9247008813FE}" name="Housing"/>
    <tableColumn id="23" xr3:uid="{59DFD591-3F07-4C6D-9C21-D7E552CFF99E}" name="Fuel and light"/>
    <tableColumn id="24" xr3:uid="{2490CC49-356A-4BB7-8D7D-29CFAAC66B16}" name="Household goods and services"/>
    <tableColumn id="25" xr3:uid="{AD4A87C5-6C38-4770-A92E-787905B337D2}" name="Health"/>
    <tableColumn id="26" xr3:uid="{9B1B334B-795E-4F26-98C0-9544286AD26D}" name="Transport and communication"/>
    <tableColumn id="27" xr3:uid="{440E73BA-DCCA-4F7E-AFF9-AF287624D34E}" name="Recreation and amusement"/>
    <tableColumn id="28" xr3:uid="{E3DF3431-3214-4886-A994-E95D44E2DFDA}" name="Education"/>
    <tableColumn id="29" xr3:uid="{0F3D9B32-E946-4419-A8A2-0F77538BB7BF}" name="Personal care and effects"/>
    <tableColumn id="30" xr3:uid="{DAB2C79C-9951-4A75-93A3-8676BA5298B7}" name="Miscellaneous"/>
    <tableColumn id="31" xr3:uid="{BEFC82B3-CF3F-460E-B67A-4C792AD693F2}" name="General index"/>
    <tableColumn id="32" xr3:uid="{35E2CA28-5ED5-468E-A421-65D434DE8143}" name="Food" dataDxfId="9">
      <calculatedColumnFormula>SUM(Table2[[#This Row],[Cereals and products]:[Food and beverages]])</calculatedColumnFormula>
    </tableColumn>
    <tableColumn id="34" xr3:uid="{1FC28D88-D978-49FF-8039-35C150976B0B}" name="Essentials" dataDxfId="8">
      <calculatedColumnFormula>SUM(Table2[[#This Row],[Housing]:[Household goods and services]],Table2[[#This Row],[Transport and communication]],Table2[[#This Row],[Education]])</calculatedColumnFormula>
    </tableColumn>
    <tableColumn id="33" xr3:uid="{F326D09F-6F54-470D-838D-286BD2DFD3BC}" name="Clothing2" dataDxfId="7">
      <calculatedColumnFormula>SUM(Table2[[#This Row],[Clothing]:[Clothing and footwear]])</calculatedColumnFormula>
    </tableColumn>
    <tableColumn id="35" xr3:uid="{CF9909F0-F035-4DEC-8430-6B7C1DED60C1}" name="Premium" dataDxfId="6">
      <calculatedColumnFormula>SUM(Table2[[#This Row],[Pan, tobacco and intoxicants]],Table2[[#This Row],[Recreation and amusement]],Table2[[#This Row],[Personal care and effects]])</calculatedColumnFormula>
    </tableColumn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7AB2F-3721-489A-A1DE-5642F6775F4D}" name="CPI_index_data" displayName="CPI_index_data" ref="A1:AD373" tableType="queryTable" totalsRowShown="0">
  <autoFilter ref="A1:AD373" xr:uid="{66E7AB2F-3721-489A-A1DE-5642F6775F4D}">
    <filterColumn colId="0">
      <filters>
        <filter val="Rural+Urban"/>
      </filters>
    </filterColumn>
  </autoFilter>
  <tableColumns count="30">
    <tableColumn id="1" xr3:uid="{ED27601C-D04B-4495-A115-65226214EF47}" uniqueName="1" name="Sector" queryTableFieldId="1" dataDxfId="5"/>
    <tableColumn id="2" xr3:uid="{BBBBA56A-33AF-4365-A9A8-25C451AF2498}" uniqueName="2" name="Year" queryTableFieldId="2"/>
    <tableColumn id="3" xr3:uid="{3924E018-6278-4863-8A6B-471864DF1B4D}" uniqueName="3" name="Month" queryTableFieldId="3" dataDxfId="4"/>
    <tableColumn id="4" xr3:uid="{CE5EA005-A0F0-4130-BD2F-0A4CE01B237D}" uniqueName="4" name="Cereals and products" queryTableFieldId="4"/>
    <tableColumn id="5" xr3:uid="{FDD0D99B-8257-49CC-BBA6-9BF89E949886}" uniqueName="5" name="Meat and fish" queryTableFieldId="5"/>
    <tableColumn id="6" xr3:uid="{E58DD248-65C0-4129-A70F-84A903D00A8D}" uniqueName="6" name="Egg" queryTableFieldId="6"/>
    <tableColumn id="7" xr3:uid="{853947DA-BA61-491A-8581-6B184D0A41C3}" uniqueName="7" name="Milk and products" queryTableFieldId="7"/>
    <tableColumn id="8" xr3:uid="{2C276224-AA0D-46B5-A307-5F4248A2B3AF}" uniqueName="8" name="Oils and fats" queryTableFieldId="8"/>
    <tableColumn id="9" xr3:uid="{A2FC0A68-C147-47F3-BA2B-809C66CAA7ED}" uniqueName="9" name="Fruits" queryTableFieldId="9"/>
    <tableColumn id="10" xr3:uid="{93D6F0FB-32C2-46BE-A72F-5B7CA6C61668}" uniqueName="10" name="Vegetables" queryTableFieldId="10"/>
    <tableColumn id="11" xr3:uid="{FB57FB3F-C185-4767-9B9D-C2E0D0368339}" uniqueName="11" name="Pulses and products" queryTableFieldId="11"/>
    <tableColumn id="12" xr3:uid="{1907DA03-9DE8-42BB-8E5E-CEAF9596278E}" uniqueName="12" name="Sugar and Confectionery" queryTableFieldId="12"/>
    <tableColumn id="13" xr3:uid="{BEB7BC0A-F0FC-48CC-B619-F4C87954EB8A}" uniqueName="13" name="Spices" queryTableFieldId="13"/>
    <tableColumn id="14" xr3:uid="{CBC1BA52-2582-457B-BB99-EACCBB905959}" uniqueName="14" name="Non-alcoholic beverages" queryTableFieldId="14"/>
    <tableColumn id="15" xr3:uid="{DF0D5BAF-5314-4C6D-A646-852E466309B9}" uniqueName="15" name="Prepared meals, snacks, sweets etc." queryTableFieldId="15"/>
    <tableColumn id="16" xr3:uid="{F5546E73-D7B2-4CA8-880B-0C931DED6ADA}" uniqueName="16" name="Food and beverages" queryTableFieldId="16"/>
    <tableColumn id="17" xr3:uid="{D8BA897A-FC78-4A48-A584-7EB98FF4B17D}" uniqueName="17" name="Pan, tobacco and intoxicants" queryTableFieldId="17"/>
    <tableColumn id="18" xr3:uid="{97514237-2F90-415A-A737-44A3FBE65023}" uniqueName="18" name="Clothing" queryTableFieldId="18"/>
    <tableColumn id="19" xr3:uid="{628879A0-3276-4C18-8B32-69CA259F1FAB}" uniqueName="19" name="Footwear" queryTableFieldId="19"/>
    <tableColumn id="20" xr3:uid="{78C1FD1E-B39A-4CF0-BC37-7BA8B1F1C4CC}" uniqueName="20" name="Clothing and footwear" queryTableFieldId="20"/>
    <tableColumn id="21" xr3:uid="{4AC47693-5DE8-452D-8A6B-F50624C6E63E}" uniqueName="21" name="Housing" queryTableFieldId="21" dataDxfId="3"/>
    <tableColumn id="22" xr3:uid="{19070193-941D-4A92-A180-8AF798CA2D1D}" uniqueName="22" name="Fuel and light" queryTableFieldId="22"/>
    <tableColumn id="23" xr3:uid="{5E528445-DB44-4F28-B149-3BDCEEC2E433}" uniqueName="23" name="Household goods and services" queryTableFieldId="23"/>
    <tableColumn id="24" xr3:uid="{40573853-3E5C-430A-A2EF-E0C918ADBD48}" uniqueName="24" name="Health" queryTableFieldId="24"/>
    <tableColumn id="25" xr3:uid="{226D8A2A-6732-47FD-A677-690494B3A4BA}" uniqueName="25" name="Transport and communication" queryTableFieldId="25"/>
    <tableColumn id="26" xr3:uid="{AF0214D6-CEE4-417A-8C28-8FA8B1E938E0}" uniqueName="26" name="Recreation and amusement" queryTableFieldId="26"/>
    <tableColumn id="27" xr3:uid="{23F74A2F-4FB8-4268-9060-8F06CD6D888E}" uniqueName="27" name="Education" queryTableFieldId="27"/>
    <tableColumn id="28" xr3:uid="{5DE73BC6-0614-4AF8-B4C1-AD576583763B}" uniqueName="28" name="Personal care and effects" queryTableFieldId="28"/>
    <tableColumn id="29" xr3:uid="{F278EDC6-FBE3-4B38-869E-83AC61B79CE0}" uniqueName="29" name="Miscellaneous" queryTableFieldId="29"/>
    <tableColumn id="30" xr3:uid="{91E9FF2C-FF86-4353-AD32-1FEB183597DF}" uniqueName="30" name="General index" queryTableFieldId="3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68D74CD-0D60-47D1-846C-3B5984AE27CE}" name="Table13" displayName="Table13" ref="A1:C126" totalsRowShown="0">
  <autoFilter ref="A1:C126" xr:uid="{C68D74CD-0D60-47D1-846C-3B5984AE27CE}">
    <filterColumn colId="1">
      <filters>
        <filter val="2021"/>
        <filter val="2022"/>
        <filter val="2023"/>
      </filters>
    </filterColumn>
  </autoFilter>
  <tableColumns count="3">
    <tableColumn id="1" xr3:uid="{23AF4370-5C6E-48BB-831B-067502A3547F}" name="Month" dataDxfId="2"/>
    <tableColumn id="3" xr3:uid="{81F341B7-F143-4DFB-89B8-DD0B0D561761}" name="Year" dataDxfId="1">
      <calculatedColumnFormula>TEXT(Table13[[#This Row],[Month]],"yyyy")</calculatedColumnFormula>
    </tableColumn>
    <tableColumn id="2" xr3:uid="{82D26172-B898-4B6A-9ECE-6C6A2400F41D}" name="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64C0-BCF2-46C7-89C9-1F557F6759F1}">
  <dimension ref="A1"/>
  <sheetViews>
    <sheetView showGridLines="0" tabSelected="1" zoomScale="80" zoomScaleNormal="80" workbookViewId="0">
      <selection activeCell="C29" sqref="C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957A-32DD-416E-A1F8-0DB66794424F}">
  <dimension ref="A2:D39"/>
  <sheetViews>
    <sheetView workbookViewId="0">
      <selection activeCell="A8" sqref="A8"/>
    </sheetView>
  </sheetViews>
  <sheetFormatPr defaultRowHeight="15" x14ac:dyDescent="0.25"/>
  <cols>
    <col min="1" max="1" width="107.85546875" bestFit="1" customWidth="1"/>
    <col min="3" max="3" width="33.28515625" bestFit="1" customWidth="1"/>
    <col min="4" max="4" width="55.28515625" customWidth="1"/>
  </cols>
  <sheetData>
    <row r="2" spans="1:4" x14ac:dyDescent="0.25">
      <c r="A2" s="13" t="s">
        <v>256</v>
      </c>
      <c r="C2" s="16" t="s">
        <v>257</v>
      </c>
      <c r="D2" s="16"/>
    </row>
    <row r="3" spans="1:4" x14ac:dyDescent="0.25">
      <c r="A3" s="11" t="s">
        <v>258</v>
      </c>
      <c r="C3" t="s">
        <v>259</v>
      </c>
      <c r="D3" t="s">
        <v>260</v>
      </c>
    </row>
    <row r="4" spans="1:4" x14ac:dyDescent="0.25">
      <c r="A4" s="11" t="s">
        <v>261</v>
      </c>
      <c r="C4" t="s">
        <v>0</v>
      </c>
      <c r="D4" t="s">
        <v>262</v>
      </c>
    </row>
    <row r="5" spans="1:4" x14ac:dyDescent="0.25">
      <c r="A5" s="11" t="s">
        <v>263</v>
      </c>
      <c r="C5" t="s">
        <v>1</v>
      </c>
      <c r="D5" t="s">
        <v>264</v>
      </c>
    </row>
    <row r="6" spans="1:4" x14ac:dyDescent="0.25">
      <c r="A6" s="11" t="s">
        <v>265</v>
      </c>
      <c r="C6" t="s">
        <v>2</v>
      </c>
      <c r="D6" t="s">
        <v>266</v>
      </c>
    </row>
    <row r="7" spans="1:4" x14ac:dyDescent="0.25">
      <c r="A7" s="11" t="s">
        <v>267</v>
      </c>
      <c r="C7" t="s">
        <v>3</v>
      </c>
      <c r="D7" t="s">
        <v>268</v>
      </c>
    </row>
    <row r="8" spans="1:4" x14ac:dyDescent="0.25">
      <c r="A8" s="12" t="s">
        <v>269</v>
      </c>
      <c r="C8" t="s">
        <v>4</v>
      </c>
      <c r="D8" t="s">
        <v>270</v>
      </c>
    </row>
    <row r="9" spans="1:4" x14ac:dyDescent="0.25">
      <c r="C9" t="s">
        <v>5</v>
      </c>
      <c r="D9" t="s">
        <v>271</v>
      </c>
    </row>
    <row r="10" spans="1:4" x14ac:dyDescent="0.25">
      <c r="C10" t="s">
        <v>6</v>
      </c>
      <c r="D10" t="s">
        <v>272</v>
      </c>
    </row>
    <row r="11" spans="1:4" x14ac:dyDescent="0.25">
      <c r="A11" s="14" t="s">
        <v>273</v>
      </c>
      <c r="C11" t="s">
        <v>7</v>
      </c>
      <c r="D11" t="s">
        <v>274</v>
      </c>
    </row>
    <row r="12" spans="1:4" x14ac:dyDescent="0.25">
      <c r="A12" s="11" t="s">
        <v>275</v>
      </c>
      <c r="C12" t="s">
        <v>8</v>
      </c>
      <c r="D12" t="s">
        <v>276</v>
      </c>
    </row>
    <row r="13" spans="1:4" x14ac:dyDescent="0.25">
      <c r="A13" s="11" t="s">
        <v>277</v>
      </c>
      <c r="C13" t="s">
        <v>9</v>
      </c>
      <c r="D13" t="s">
        <v>278</v>
      </c>
    </row>
    <row r="14" spans="1:4" x14ac:dyDescent="0.25">
      <c r="A14" s="12" t="s">
        <v>279</v>
      </c>
      <c r="C14" t="s">
        <v>10</v>
      </c>
      <c r="D14" t="s">
        <v>280</v>
      </c>
    </row>
    <row r="15" spans="1:4" x14ac:dyDescent="0.25">
      <c r="C15" t="s">
        <v>11</v>
      </c>
      <c r="D15" t="s">
        <v>281</v>
      </c>
    </row>
    <row r="16" spans="1:4" x14ac:dyDescent="0.25">
      <c r="C16" t="s">
        <v>12</v>
      </c>
      <c r="D16" t="s">
        <v>282</v>
      </c>
    </row>
    <row r="17" spans="1:4" x14ac:dyDescent="0.25">
      <c r="A17" s="14" t="s">
        <v>283</v>
      </c>
      <c r="C17" t="s">
        <v>13</v>
      </c>
      <c r="D17" t="s">
        <v>284</v>
      </c>
    </row>
    <row r="18" spans="1:4" x14ac:dyDescent="0.25">
      <c r="A18" s="11" t="s">
        <v>285</v>
      </c>
      <c r="C18" t="s">
        <v>14</v>
      </c>
      <c r="D18" t="s">
        <v>286</v>
      </c>
    </row>
    <row r="19" spans="1:4" x14ac:dyDescent="0.25">
      <c r="A19" s="11" t="s">
        <v>287</v>
      </c>
      <c r="C19" t="s">
        <v>15</v>
      </c>
      <c r="D19" t="s">
        <v>288</v>
      </c>
    </row>
    <row r="20" spans="1:4" x14ac:dyDescent="0.25">
      <c r="A20" s="11" t="s">
        <v>289</v>
      </c>
      <c r="C20" t="s">
        <v>16</v>
      </c>
      <c r="D20" t="s">
        <v>290</v>
      </c>
    </row>
    <row r="21" spans="1:4" x14ac:dyDescent="0.25">
      <c r="A21" s="11" t="s">
        <v>291</v>
      </c>
      <c r="C21" t="s">
        <v>17</v>
      </c>
      <c r="D21" t="s">
        <v>292</v>
      </c>
    </row>
    <row r="22" spans="1:4" x14ac:dyDescent="0.25">
      <c r="A22" s="11" t="s">
        <v>293</v>
      </c>
      <c r="C22" t="s">
        <v>18</v>
      </c>
      <c r="D22" t="s">
        <v>294</v>
      </c>
    </row>
    <row r="23" spans="1:4" x14ac:dyDescent="0.25">
      <c r="A23" s="12" t="s">
        <v>295</v>
      </c>
      <c r="C23" t="s">
        <v>19</v>
      </c>
      <c r="D23" t="s">
        <v>296</v>
      </c>
    </row>
    <row r="24" spans="1:4" x14ac:dyDescent="0.25">
      <c r="C24" t="s">
        <v>20</v>
      </c>
      <c r="D24" t="s">
        <v>297</v>
      </c>
    </row>
    <row r="25" spans="1:4" x14ac:dyDescent="0.25">
      <c r="C25" t="s">
        <v>21</v>
      </c>
      <c r="D25" t="s">
        <v>298</v>
      </c>
    </row>
    <row r="26" spans="1:4" x14ac:dyDescent="0.25">
      <c r="A26" s="14" t="s">
        <v>299</v>
      </c>
      <c r="C26" t="s">
        <v>22</v>
      </c>
      <c r="D26" t="s">
        <v>300</v>
      </c>
    </row>
    <row r="27" spans="1:4" x14ac:dyDescent="0.25">
      <c r="A27" s="11" t="s">
        <v>301</v>
      </c>
      <c r="C27" t="s">
        <v>23</v>
      </c>
      <c r="D27" t="s">
        <v>302</v>
      </c>
    </row>
    <row r="28" spans="1:4" x14ac:dyDescent="0.25">
      <c r="A28" s="11" t="s">
        <v>303</v>
      </c>
      <c r="C28" t="s">
        <v>24</v>
      </c>
      <c r="D28" t="s">
        <v>304</v>
      </c>
    </row>
    <row r="29" spans="1:4" x14ac:dyDescent="0.25">
      <c r="A29" s="11" t="s">
        <v>305</v>
      </c>
      <c r="C29" t="s">
        <v>25</v>
      </c>
      <c r="D29" t="s">
        <v>306</v>
      </c>
    </row>
    <row r="30" spans="1:4" x14ac:dyDescent="0.25">
      <c r="A30" s="11" t="s">
        <v>307</v>
      </c>
      <c r="C30" t="s">
        <v>26</v>
      </c>
      <c r="D30" t="s">
        <v>308</v>
      </c>
    </row>
    <row r="31" spans="1:4" x14ac:dyDescent="0.25">
      <c r="A31" s="12" t="s">
        <v>309</v>
      </c>
      <c r="C31" t="s">
        <v>27</v>
      </c>
      <c r="D31" t="s">
        <v>310</v>
      </c>
    </row>
    <row r="32" spans="1:4" x14ac:dyDescent="0.25">
      <c r="C32" t="s">
        <v>28</v>
      </c>
      <c r="D32" t="s">
        <v>311</v>
      </c>
    </row>
    <row r="33" spans="1:4" x14ac:dyDescent="0.25">
      <c r="C33" t="s">
        <v>29</v>
      </c>
      <c r="D33" t="s">
        <v>312</v>
      </c>
    </row>
    <row r="34" spans="1:4" x14ac:dyDescent="0.25">
      <c r="A34" s="14" t="s">
        <v>313</v>
      </c>
      <c r="C34" t="s">
        <v>188</v>
      </c>
      <c r="D34" t="s">
        <v>314</v>
      </c>
    </row>
    <row r="35" spans="1:4" x14ac:dyDescent="0.25">
      <c r="A35" s="11" t="s">
        <v>315</v>
      </c>
      <c r="C35" t="s">
        <v>213</v>
      </c>
      <c r="D35" t="s">
        <v>323</v>
      </c>
    </row>
    <row r="36" spans="1:4" x14ac:dyDescent="0.25">
      <c r="A36" s="11" t="s">
        <v>316</v>
      </c>
      <c r="C36" t="s">
        <v>321</v>
      </c>
      <c r="D36" t="s">
        <v>322</v>
      </c>
    </row>
    <row r="37" spans="1:4" x14ac:dyDescent="0.25">
      <c r="A37" s="11" t="s">
        <v>317</v>
      </c>
      <c r="C37" t="s">
        <v>320</v>
      </c>
      <c r="D37" t="s">
        <v>324</v>
      </c>
    </row>
    <row r="38" spans="1:4" x14ac:dyDescent="0.25">
      <c r="A38" s="11" t="s">
        <v>318</v>
      </c>
    </row>
    <row r="39" spans="1:4" x14ac:dyDescent="0.25">
      <c r="A39" s="12" t="s">
        <v>319</v>
      </c>
    </row>
  </sheetData>
  <mergeCells count="1">
    <mergeCell ref="C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AD72-2905-4900-B3BA-B1D370F39EED}">
  <dimension ref="A1:K34"/>
  <sheetViews>
    <sheetView topLeftCell="A2" zoomScale="80" zoomScaleNormal="80" workbookViewId="0">
      <selection activeCell="A2" sqref="A2"/>
    </sheetView>
  </sheetViews>
  <sheetFormatPr defaultRowHeight="15" x14ac:dyDescent="0.25"/>
  <cols>
    <col min="1" max="1" width="33.28515625" bestFit="1" customWidth="1"/>
    <col min="4" max="4" width="14.140625" customWidth="1"/>
    <col min="5" max="5" width="18.7109375" bestFit="1" customWidth="1"/>
    <col min="7" max="7" width="18.5703125" customWidth="1"/>
    <col min="8" max="8" width="9.7109375" customWidth="1"/>
    <col min="9" max="9" width="11" customWidth="1"/>
    <col min="10" max="10" width="16.140625" customWidth="1"/>
    <col min="11" max="11" width="11.5703125" customWidth="1"/>
  </cols>
  <sheetData>
    <row r="1" spans="1:11" x14ac:dyDescent="0.25">
      <c r="A1" s="5" t="s">
        <v>191</v>
      </c>
    </row>
    <row r="2" spans="1:11" x14ac:dyDescent="0.25">
      <c r="A2" s="1" t="s">
        <v>216</v>
      </c>
    </row>
    <row r="3" spans="1:11" x14ac:dyDescent="0.25">
      <c r="A3" s="1" t="s">
        <v>217</v>
      </c>
    </row>
    <row r="7" spans="1:11" x14ac:dyDescent="0.25">
      <c r="A7" s="15" t="s">
        <v>186</v>
      </c>
      <c r="B7" s="15"/>
      <c r="C7" s="15"/>
      <c r="D7" s="15"/>
      <c r="E7" s="15"/>
      <c r="G7" s="16" t="s">
        <v>214</v>
      </c>
      <c r="H7" s="16"/>
      <c r="I7" s="16"/>
      <c r="J7" s="16"/>
      <c r="K7" s="16"/>
    </row>
    <row r="8" spans="1:11" x14ac:dyDescent="0.25">
      <c r="A8" t="s">
        <v>184</v>
      </c>
      <c r="B8" t="s">
        <v>30</v>
      </c>
      <c r="C8" t="s">
        <v>33</v>
      </c>
      <c r="D8" t="s">
        <v>35</v>
      </c>
      <c r="E8" t="s">
        <v>187</v>
      </c>
      <c r="G8" t="s">
        <v>187</v>
      </c>
      <c r="H8" t="s">
        <v>30</v>
      </c>
      <c r="I8" t="s">
        <v>33</v>
      </c>
      <c r="J8" t="s">
        <v>35</v>
      </c>
      <c r="K8" t="s">
        <v>215</v>
      </c>
    </row>
    <row r="9" spans="1:11" x14ac:dyDescent="0.25">
      <c r="A9" t="s">
        <v>3</v>
      </c>
      <c r="B9">
        <v>173.2</v>
      </c>
      <c r="C9">
        <v>174.7</v>
      </c>
      <c r="D9">
        <v>173.7</v>
      </c>
      <c r="E9" t="s">
        <v>188</v>
      </c>
      <c r="G9" t="s">
        <v>188</v>
      </c>
      <c r="H9">
        <f>ROUND(SUMIFS(Table3[Rural],Table3[Broader Category],G9)/SUM(Table3[Rural])*100,2)</f>
        <v>49.01</v>
      </c>
      <c r="I9">
        <f>ROUND(SUMIFS(Table3[Urban],Table3[Broader Category],G9)/SUM(Table3[Urban])*100,2)</f>
        <v>50.32</v>
      </c>
      <c r="J9">
        <f>ROUND(SUMIFS(Table3[Rural+Urban],Table3[Broader Category],G9)/SUM(Table3[Rural+Urban])*100,2)</f>
        <v>49.56</v>
      </c>
      <c r="K9">
        <f>ROUND(AVERAGE(H9:J9),2)</f>
        <v>49.63</v>
      </c>
    </row>
    <row r="10" spans="1:11" x14ac:dyDescent="0.25">
      <c r="A10" t="s">
        <v>4</v>
      </c>
      <c r="B10">
        <v>211.5</v>
      </c>
      <c r="C10">
        <v>219.4</v>
      </c>
      <c r="D10">
        <v>214.3</v>
      </c>
      <c r="E10" t="s">
        <v>188</v>
      </c>
      <c r="G10" t="s">
        <v>190</v>
      </c>
      <c r="H10">
        <f>ROUND(SUMIFS(Table3[Rural],Table3[Broader Category],G10)/SUM(Table3[Rural])*100,2)</f>
        <v>11.95</v>
      </c>
      <c r="I10">
        <f>ROUND(SUMIFS(Table3[Urban],Table3[Broader Category],G10)/SUM(Table3[Urban])*100,2)</f>
        <v>12.05</v>
      </c>
      <c r="J10">
        <f>ROUND(SUMIFS(Table3[Rural+Urban],Table3[Broader Category],G10)/SUM(Table3[Rural+Urban])*100,2)</f>
        <v>11.98</v>
      </c>
      <c r="K10">
        <f t="shared" ref="K10:K14" si="0">ROUND(AVERAGE(H10:J10),2)</f>
        <v>11.99</v>
      </c>
    </row>
    <row r="11" spans="1:11" x14ac:dyDescent="0.25">
      <c r="A11" t="s">
        <v>5</v>
      </c>
      <c r="B11">
        <v>171</v>
      </c>
      <c r="C11">
        <v>176.7</v>
      </c>
      <c r="D11">
        <v>173.2</v>
      </c>
      <c r="E11" t="s">
        <v>188</v>
      </c>
      <c r="G11" t="s">
        <v>17</v>
      </c>
      <c r="H11">
        <f>ROUND(SUMIFS(Table3[Rural],Table3[Broader Category],G11)/SUM(Table3[Rural])*100,2)</f>
        <v>12.19</v>
      </c>
      <c r="I11">
        <f>ROUND(SUMIFS(Table3[Urban],Table3[Broader Category],G11)/SUM(Table3[Urban])*100,2)</f>
        <v>11.39</v>
      </c>
      <c r="J11">
        <f>ROUND(SUMIFS(Table3[Rural+Urban],Table3[Broader Category],G11)/SUM(Table3[Rural+Urban])*100,2)</f>
        <v>11.89</v>
      </c>
      <c r="K11">
        <f t="shared" si="0"/>
        <v>11.82</v>
      </c>
    </row>
    <row r="12" spans="1:11" x14ac:dyDescent="0.25">
      <c r="A12" t="s">
        <v>6</v>
      </c>
      <c r="B12">
        <v>179.6</v>
      </c>
      <c r="C12">
        <v>179.4</v>
      </c>
      <c r="D12">
        <v>179.5</v>
      </c>
      <c r="E12" t="s">
        <v>188</v>
      </c>
      <c r="G12" t="s">
        <v>213</v>
      </c>
      <c r="H12">
        <f>ROUND(SUMIFS(Table3[Rural],Table3[Broader Category],G12)/SUM(Table3[Rural])*100,2)</f>
        <v>18.989999999999998</v>
      </c>
      <c r="I12">
        <f>ROUND(SUMIFS(Table3[Urban],Table3[Broader Category],G12)/SUM(Table3[Urban])*100,2)</f>
        <v>18.62</v>
      </c>
      <c r="J12">
        <f>ROUND(SUMIFS(Table3[Rural+Urban],Table3[Broader Category],G12)/SUM(Table3[Rural+Urban])*100,2)</f>
        <v>18.809999999999999</v>
      </c>
      <c r="K12">
        <f t="shared" si="0"/>
        <v>18.809999999999999</v>
      </c>
    </row>
    <row r="13" spans="1:11" x14ac:dyDescent="0.25">
      <c r="A13" t="s">
        <v>7</v>
      </c>
      <c r="B13">
        <v>173.3</v>
      </c>
      <c r="C13">
        <v>164.4</v>
      </c>
      <c r="D13">
        <v>170</v>
      </c>
      <c r="E13" t="s">
        <v>188</v>
      </c>
      <c r="G13" t="s">
        <v>189</v>
      </c>
      <c r="H13">
        <f>ROUND(SUMIFS(Table3[Rural],Table3[Broader Category],G13)/SUM(Table3[Rural])*100,2)</f>
        <v>4.0199999999999996</v>
      </c>
      <c r="I13">
        <f>ROUND(SUMIFS(Table3[Urban],Table3[Broader Category],G13)/SUM(Table3[Urban])*100,2)</f>
        <v>3.93</v>
      </c>
      <c r="J13">
        <f>ROUND(SUMIFS(Table3[Rural+Urban],Table3[Broader Category],G13)/SUM(Table3[Rural+Urban])*100,2)</f>
        <v>3.99</v>
      </c>
      <c r="K13">
        <f t="shared" si="0"/>
        <v>3.98</v>
      </c>
    </row>
    <row r="14" spans="1:11" x14ac:dyDescent="0.25">
      <c r="A14" t="s">
        <v>8</v>
      </c>
      <c r="B14">
        <v>169</v>
      </c>
      <c r="C14">
        <v>175.8</v>
      </c>
      <c r="D14">
        <v>172.2</v>
      </c>
      <c r="E14" t="s">
        <v>188</v>
      </c>
      <c r="G14" t="s">
        <v>28</v>
      </c>
      <c r="H14">
        <f>ROUND(SUMIFS(Table3[Rural],Table3[Broader Category],G14)/SUM(Table3[Rural])*100,2)</f>
        <v>3.84</v>
      </c>
      <c r="I14">
        <f>ROUND(SUMIFS(Table3[Urban],Table3[Broader Category],G14)/SUM(Table3[Urban])*100,2)</f>
        <v>3.7</v>
      </c>
      <c r="J14">
        <f>ROUND(SUMIFS(Table3[Rural+Urban],Table3[Broader Category],G14)/SUM(Table3[Rural+Urban])*100,2)</f>
        <v>3.77</v>
      </c>
      <c r="K14">
        <f t="shared" si="0"/>
        <v>3.77</v>
      </c>
    </row>
    <row r="15" spans="1:11" x14ac:dyDescent="0.25">
      <c r="A15" t="s">
        <v>9</v>
      </c>
      <c r="B15">
        <v>148.69999999999999</v>
      </c>
      <c r="C15">
        <v>185</v>
      </c>
      <c r="D15">
        <v>161</v>
      </c>
      <c r="E15" t="s">
        <v>188</v>
      </c>
    </row>
    <row r="16" spans="1:11" x14ac:dyDescent="0.25">
      <c r="A16" t="s">
        <v>10</v>
      </c>
      <c r="B16">
        <v>174.9</v>
      </c>
      <c r="C16">
        <v>176.9</v>
      </c>
      <c r="D16">
        <v>175.6</v>
      </c>
      <c r="E16" t="s">
        <v>188</v>
      </c>
    </row>
    <row r="17" spans="1:5" x14ac:dyDescent="0.25">
      <c r="A17" t="s">
        <v>11</v>
      </c>
      <c r="B17">
        <v>121.9</v>
      </c>
      <c r="C17">
        <v>124.2</v>
      </c>
      <c r="D17">
        <v>122.7</v>
      </c>
      <c r="E17" t="s">
        <v>188</v>
      </c>
    </row>
    <row r="18" spans="1:5" x14ac:dyDescent="0.25">
      <c r="A18" t="s">
        <v>12</v>
      </c>
      <c r="B18">
        <v>221</v>
      </c>
      <c r="C18">
        <v>211.9</v>
      </c>
      <c r="D18">
        <v>218</v>
      </c>
      <c r="E18" t="s">
        <v>188</v>
      </c>
    </row>
    <row r="19" spans="1:5" x14ac:dyDescent="0.25">
      <c r="A19" t="s">
        <v>13</v>
      </c>
      <c r="B19">
        <v>178.7</v>
      </c>
      <c r="C19">
        <v>165.9</v>
      </c>
      <c r="D19">
        <v>173.4</v>
      </c>
      <c r="E19" t="s">
        <v>188</v>
      </c>
    </row>
    <row r="20" spans="1:5" x14ac:dyDescent="0.25">
      <c r="A20" t="s">
        <v>14</v>
      </c>
      <c r="B20">
        <v>191.1</v>
      </c>
      <c r="C20">
        <v>197.7</v>
      </c>
      <c r="D20">
        <v>194.2</v>
      </c>
      <c r="E20" t="s">
        <v>188</v>
      </c>
    </row>
    <row r="21" spans="1:5" x14ac:dyDescent="0.25">
      <c r="A21" t="s">
        <v>15</v>
      </c>
      <c r="B21">
        <v>176.8</v>
      </c>
      <c r="C21">
        <v>183.1</v>
      </c>
      <c r="D21">
        <v>179.1</v>
      </c>
      <c r="E21" t="s">
        <v>188</v>
      </c>
    </row>
    <row r="22" spans="1:5" x14ac:dyDescent="0.25">
      <c r="A22" t="s">
        <v>16</v>
      </c>
      <c r="B22">
        <v>199.9</v>
      </c>
      <c r="C22">
        <v>204.2</v>
      </c>
      <c r="D22">
        <v>201</v>
      </c>
      <c r="E22" t="s">
        <v>190</v>
      </c>
    </row>
    <row r="23" spans="1:5" x14ac:dyDescent="0.25">
      <c r="A23" t="s">
        <v>17</v>
      </c>
      <c r="B23">
        <v>191.2</v>
      </c>
      <c r="C23">
        <v>181.3</v>
      </c>
      <c r="D23">
        <v>187.3</v>
      </c>
      <c r="E23" t="s">
        <v>17</v>
      </c>
    </row>
    <row r="24" spans="1:5" x14ac:dyDescent="0.25">
      <c r="A24" t="s">
        <v>18</v>
      </c>
      <c r="B24">
        <v>187.9</v>
      </c>
      <c r="C24">
        <v>168.1</v>
      </c>
      <c r="D24">
        <v>179.7</v>
      </c>
      <c r="E24" t="s">
        <v>17</v>
      </c>
    </row>
    <row r="25" spans="1:5" x14ac:dyDescent="0.25">
      <c r="A25" t="s">
        <v>19</v>
      </c>
      <c r="B25">
        <v>190.8</v>
      </c>
      <c r="C25">
        <v>179.3</v>
      </c>
      <c r="D25">
        <v>186.2</v>
      </c>
      <c r="E25" t="s">
        <v>17</v>
      </c>
    </row>
    <row r="26" spans="1:5" x14ac:dyDescent="0.25">
      <c r="A26" t="s">
        <v>20</v>
      </c>
      <c r="B26">
        <v>175.6</v>
      </c>
      <c r="C26">
        <v>175.6</v>
      </c>
      <c r="D26">
        <v>175.6</v>
      </c>
      <c r="E26" t="s">
        <v>213</v>
      </c>
    </row>
    <row r="27" spans="1:5" x14ac:dyDescent="0.25">
      <c r="A27" t="s">
        <v>21</v>
      </c>
      <c r="B27">
        <v>182.5</v>
      </c>
      <c r="C27">
        <v>183.4</v>
      </c>
      <c r="D27">
        <v>182.8</v>
      </c>
      <c r="E27" t="s">
        <v>213</v>
      </c>
    </row>
    <row r="28" spans="1:5" x14ac:dyDescent="0.25">
      <c r="A28" t="s">
        <v>22</v>
      </c>
      <c r="B28">
        <v>179.8</v>
      </c>
      <c r="C28">
        <v>170.1</v>
      </c>
      <c r="D28">
        <v>175.2</v>
      </c>
      <c r="E28" t="s">
        <v>213</v>
      </c>
    </row>
    <row r="29" spans="1:5" x14ac:dyDescent="0.25">
      <c r="A29" t="s">
        <v>23</v>
      </c>
      <c r="B29">
        <v>187.8</v>
      </c>
      <c r="C29">
        <v>182.2</v>
      </c>
      <c r="D29">
        <v>185.7</v>
      </c>
      <c r="E29" t="s">
        <v>189</v>
      </c>
    </row>
    <row r="30" spans="1:5" x14ac:dyDescent="0.25">
      <c r="A30" t="s">
        <v>24</v>
      </c>
      <c r="B30">
        <v>169.7</v>
      </c>
      <c r="C30">
        <v>160.4</v>
      </c>
      <c r="D30">
        <v>164.8</v>
      </c>
      <c r="E30" t="s">
        <v>213</v>
      </c>
    </row>
    <row r="31" spans="1:5" x14ac:dyDescent="0.25">
      <c r="A31" t="s">
        <v>25</v>
      </c>
      <c r="B31">
        <v>173.8</v>
      </c>
      <c r="C31">
        <v>169.2</v>
      </c>
      <c r="D31">
        <v>171.2</v>
      </c>
      <c r="E31" t="s">
        <v>190</v>
      </c>
    </row>
    <row r="32" spans="1:5" x14ac:dyDescent="0.25">
      <c r="A32" t="s">
        <v>26</v>
      </c>
      <c r="B32">
        <v>180.3</v>
      </c>
      <c r="C32">
        <v>174.8</v>
      </c>
      <c r="D32">
        <v>177.1</v>
      </c>
      <c r="E32" t="s">
        <v>213</v>
      </c>
    </row>
    <row r="33" spans="1:5" x14ac:dyDescent="0.25">
      <c r="A33" t="s">
        <v>27</v>
      </c>
      <c r="B33">
        <v>184.9</v>
      </c>
      <c r="C33">
        <v>185.6</v>
      </c>
      <c r="D33">
        <v>185.2</v>
      </c>
      <c r="E33" t="s">
        <v>190</v>
      </c>
    </row>
    <row r="34" spans="1:5" x14ac:dyDescent="0.25">
      <c r="A34" t="s">
        <v>28</v>
      </c>
      <c r="B34">
        <v>179.5</v>
      </c>
      <c r="C34">
        <v>171.6</v>
      </c>
      <c r="D34">
        <v>175.7</v>
      </c>
      <c r="E34" t="s">
        <v>28</v>
      </c>
    </row>
  </sheetData>
  <mergeCells count="2">
    <mergeCell ref="A7:E7"/>
    <mergeCell ref="G7:K7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B134-A9AE-4ED8-8B14-FA096F3CA138}">
  <dimension ref="A1:E12"/>
  <sheetViews>
    <sheetView zoomScale="90" zoomScaleNormal="90" workbookViewId="0">
      <selection activeCell="A2" sqref="A2"/>
    </sheetView>
  </sheetViews>
  <sheetFormatPr defaultRowHeight="15" x14ac:dyDescent="0.25"/>
  <cols>
    <col min="1" max="1" width="11.85546875" bestFit="1" customWidth="1"/>
    <col min="3" max="3" width="9.28515625" customWidth="1"/>
    <col min="4" max="4" width="9.7109375" customWidth="1"/>
    <col min="5" max="5" width="19.42578125" customWidth="1"/>
  </cols>
  <sheetData>
    <row r="1" spans="1:5" x14ac:dyDescent="0.25">
      <c r="A1" s="5" t="s">
        <v>172</v>
      </c>
    </row>
    <row r="2" spans="1:5" x14ac:dyDescent="0.25">
      <c r="A2" s="1" t="s">
        <v>196</v>
      </c>
    </row>
    <row r="3" spans="1:5" x14ac:dyDescent="0.25">
      <c r="A3" s="1" t="s">
        <v>195</v>
      </c>
    </row>
    <row r="6" spans="1:5" x14ac:dyDescent="0.25">
      <c r="A6" t="s">
        <v>0</v>
      </c>
      <c r="B6" t="s">
        <v>1</v>
      </c>
      <c r="C6" t="s">
        <v>192</v>
      </c>
      <c r="D6" t="s">
        <v>193</v>
      </c>
      <c r="E6" t="s">
        <v>194</v>
      </c>
    </row>
    <row r="7" spans="1:5" x14ac:dyDescent="0.25">
      <c r="A7" t="s">
        <v>35</v>
      </c>
      <c r="B7">
        <v>2017</v>
      </c>
      <c r="C7" cm="1">
        <f t="array" ref="C7">_xlfn._xlws.FILTER(Table2[General index],(Table2[Sector]='Obj 2'!$A7)*(Table2[Year]='Obj 2'!$B7)*(LEFT(Table2[Month],3)=LEFT(C$6,3)))</f>
        <v>130.30000000000001</v>
      </c>
      <c r="D7" cm="1">
        <f t="array" ref="D7">_xlfn._xlws.FILTER(Table2[General index],(Table2[Sector]='Obj 2'!$A7)*(Table2[Year]='Obj 2'!$B7)*(LEFT(Table2[Month],3)=LEFT(D$6,3)))</f>
        <v>137.19999999999999</v>
      </c>
      <c r="E7">
        <f t="shared" ref="E7:E12" si="0">ROUND((D7-C7)/C7*100,2)</f>
        <v>5.3</v>
      </c>
    </row>
    <row r="8" spans="1:5" x14ac:dyDescent="0.25">
      <c r="A8" t="s">
        <v>35</v>
      </c>
      <c r="B8">
        <v>2018</v>
      </c>
      <c r="C8" cm="1">
        <f t="array" ref="C8">_xlfn._xlws.FILTER(Table2[General index],(Table2[Sector]='Obj 2'!$A8)*(Table2[Year]='Obj 2'!$B8)*(LEFT(Table2[Month],3)=LEFT(C$6,3)))</f>
        <v>136.9</v>
      </c>
      <c r="D8" cm="1">
        <f t="array" ref="D8">_xlfn._xlws.FILTER(Table2[General index],(Table2[Sector]='Obj 2'!$A8)*(Table2[Year]='Obj 2'!$B8)*(LEFT(Table2[Month],3)=LEFT(D$6,3)))</f>
        <v>140.1</v>
      </c>
      <c r="E8">
        <f t="shared" si="0"/>
        <v>2.34</v>
      </c>
    </row>
    <row r="9" spans="1:5" x14ac:dyDescent="0.25">
      <c r="A9" t="s">
        <v>35</v>
      </c>
      <c r="B9">
        <v>2019</v>
      </c>
      <c r="C9" cm="1">
        <f t="array" ref="C9">_xlfn._xlws.FILTER(Table2[General index],(Table2[Sector]='Obj 2'!$A9)*(Table2[Year]='Obj 2'!$B9)*(LEFT(Table2[Month],3)=LEFT(C$6,3)))</f>
        <v>139.6</v>
      </c>
      <c r="D9" cm="1">
        <f t="array" ref="D9">_xlfn._xlws.FILTER(Table2[General index],(Table2[Sector]='Obj 2'!$A9)*(Table2[Year]='Obj 2'!$B9)*(LEFT(Table2[Month],3)=LEFT(D$6,3)))</f>
        <v>150.4</v>
      </c>
      <c r="E9">
        <f t="shared" si="0"/>
        <v>7.74</v>
      </c>
    </row>
    <row r="10" spans="1:5" x14ac:dyDescent="0.25">
      <c r="A10" t="s">
        <v>35</v>
      </c>
      <c r="B10">
        <v>2020</v>
      </c>
      <c r="C10" cm="1">
        <f t="array" ref="C10">_xlfn._xlws.FILTER(Table2[General index],(Table2[Sector]='Obj 2'!$A10)*(Table2[Year]='Obj 2'!$B10)*(LEFT(Table2[Month],3)=LEFT(C$6,3)))</f>
        <v>150.19999999999999</v>
      </c>
      <c r="D10" cm="1">
        <f t="array" ref="D10">_xlfn._xlws.FILTER(Table2[General index],(Table2[Sector]='Obj 2'!$A10)*(Table2[Year]='Obj 2'!$B10)*(LEFT(Table2[Month],3)=LEFT(D$6,3)))</f>
        <v>158.9</v>
      </c>
      <c r="E10">
        <f t="shared" si="0"/>
        <v>5.79</v>
      </c>
    </row>
    <row r="11" spans="1:5" x14ac:dyDescent="0.25">
      <c r="A11" t="s">
        <v>35</v>
      </c>
      <c r="B11">
        <v>2021</v>
      </c>
      <c r="C11" cm="1">
        <f t="array" ref="C11">_xlfn._xlws.FILTER(Table2[General index],(Table2[Sector]='Obj 2'!$A11)*(Table2[Year]='Obj 2'!$B11)*(LEFT(Table2[Month],3)=LEFT(C$6,3)))</f>
        <v>157.30000000000001</v>
      </c>
      <c r="D11" cm="1">
        <f t="array" ref="D11">_xlfn._xlws.FILTER(Table2[General index],(Table2[Sector]='Obj 2'!$A11)*(Table2[Year]='Obj 2'!$B11)*(LEFT(Table2[Month],3)=LEFT(D$6,3)))</f>
        <v>166.2</v>
      </c>
      <c r="E11">
        <f t="shared" si="0"/>
        <v>5.66</v>
      </c>
    </row>
    <row r="12" spans="1:5" x14ac:dyDescent="0.25">
      <c r="A12" t="s">
        <v>35</v>
      </c>
      <c r="B12">
        <v>2022</v>
      </c>
      <c r="C12" cm="1">
        <f t="array" ref="C12">_xlfn._xlws.FILTER(Table2[General index],(Table2[Sector]='Obj 2'!$A12)*(Table2[Year]='Obj 2'!$B12)*(LEFT(Table2[Month],3)=LEFT(C$6,3)))</f>
        <v>165.7</v>
      </c>
      <c r="D12" cm="1">
        <f t="array" ref="D12">_xlfn._xlws.FILTER(Table2[General index],(Table2[Sector]='Obj 2'!$A12)*(Table2[Year]='Obj 2'!$B12)*(LEFT(Table2[Month],3)=LEFT(D$6,3)))</f>
        <v>175.7</v>
      </c>
      <c r="E12">
        <f t="shared" si="0"/>
        <v>6.04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5D4F-26C3-4E26-9AD3-91C1288AFE3F}">
  <dimension ref="A1:Q39"/>
  <sheetViews>
    <sheetView zoomScale="80" zoomScaleNormal="80" workbookViewId="0">
      <selection activeCell="A2" sqref="A2:A3"/>
    </sheetView>
  </sheetViews>
  <sheetFormatPr defaultRowHeight="15" x14ac:dyDescent="0.25"/>
  <cols>
    <col min="1" max="1" width="28" customWidth="1"/>
    <col min="2" max="2" width="17.28515625" bestFit="1" customWidth="1"/>
    <col min="3" max="3" width="8.28515625" customWidth="1"/>
    <col min="4" max="4" width="9" customWidth="1"/>
    <col min="5" max="5" width="8.140625" customWidth="1"/>
    <col min="6" max="6" width="7.85546875" customWidth="1"/>
    <col min="7" max="7" width="8" customWidth="1"/>
    <col min="8" max="8" width="8.140625" customWidth="1"/>
    <col min="9" max="9" width="8.28515625" customWidth="1"/>
    <col min="10" max="10" width="8.140625" customWidth="1"/>
    <col min="11" max="11" width="7.5703125" customWidth="1"/>
    <col min="12" max="12" width="8.7109375" customWidth="1"/>
    <col min="13" max="13" width="7.7109375" customWidth="1"/>
    <col min="14" max="16" width="7.28515625" customWidth="1"/>
    <col min="17" max="17" width="14.85546875" customWidth="1"/>
    <col min="19" max="19" width="28.7109375" customWidth="1"/>
    <col min="20" max="20" width="18.7109375" customWidth="1"/>
  </cols>
  <sheetData>
    <row r="1" spans="1:17" x14ac:dyDescent="0.25">
      <c r="A1" s="5" t="s">
        <v>199</v>
      </c>
    </row>
    <row r="2" spans="1:17" x14ac:dyDescent="0.25">
      <c r="A2" s="1" t="s">
        <v>218</v>
      </c>
    </row>
    <row r="3" spans="1:17" x14ac:dyDescent="0.25">
      <c r="A3" s="1" t="s">
        <v>219</v>
      </c>
    </row>
    <row r="4" spans="1:17" x14ac:dyDescent="0.25">
      <c r="A4" s="1" t="s">
        <v>204</v>
      </c>
    </row>
    <row r="7" spans="1:17" x14ac:dyDescent="0.25">
      <c r="A7" s="16" t="s">
        <v>198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25">
      <c r="A8" t="s">
        <v>0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  <c r="M8" t="s">
        <v>13</v>
      </c>
      <c r="N8" t="s">
        <v>14</v>
      </c>
      <c r="O8" t="s">
        <v>15</v>
      </c>
      <c r="P8" t="s">
        <v>202</v>
      </c>
      <c r="Q8" t="s">
        <v>197</v>
      </c>
    </row>
    <row r="9" spans="1:17" x14ac:dyDescent="0.25">
      <c r="A9" t="s">
        <v>35</v>
      </c>
      <c r="B9" t="s">
        <v>203</v>
      </c>
      <c r="C9">
        <v>154.1</v>
      </c>
      <c r="D9">
        <v>217</v>
      </c>
      <c r="E9">
        <v>162.4</v>
      </c>
      <c r="F9">
        <v>164.9</v>
      </c>
      <c r="G9">
        <v>202.4</v>
      </c>
      <c r="H9">
        <v>171</v>
      </c>
      <c r="I9">
        <v>174.9</v>
      </c>
      <c r="J9">
        <v>164.7</v>
      </c>
      <c r="K9">
        <v>119.7</v>
      </c>
      <c r="L9">
        <v>184.9</v>
      </c>
      <c r="M9">
        <v>167.1</v>
      </c>
      <c r="N9">
        <v>182.5</v>
      </c>
      <c r="O9">
        <v>173.3</v>
      </c>
      <c r="P9">
        <f>SUM(Table9[[#This Row],[Cereals and products]:[Food and beverages]])</f>
        <v>2238.9000000000005</v>
      </c>
      <c r="Q9" t="str">
        <f>IFERROR(ROUND((Table9[[#This Row],[Column1]]-Table9[[#Headers],[Column1]])/Table9[[#Headers],[Column1]]*100,1),"")</f>
        <v/>
      </c>
    </row>
    <row r="10" spans="1:17" x14ac:dyDescent="0.25">
      <c r="A10" t="s">
        <v>35</v>
      </c>
      <c r="B10" t="s">
        <v>183</v>
      </c>
      <c r="C10">
        <v>155</v>
      </c>
      <c r="D10">
        <v>219.4</v>
      </c>
      <c r="E10">
        <v>170.8</v>
      </c>
      <c r="F10">
        <v>165.8</v>
      </c>
      <c r="G10">
        <v>200.9</v>
      </c>
      <c r="H10">
        <v>169.7</v>
      </c>
      <c r="I10">
        <v>182.3</v>
      </c>
      <c r="J10">
        <v>164.3</v>
      </c>
      <c r="K10">
        <v>119.9</v>
      </c>
      <c r="L10">
        <v>187.1</v>
      </c>
      <c r="M10">
        <v>167.9</v>
      </c>
      <c r="N10">
        <v>183.9</v>
      </c>
      <c r="O10">
        <v>174.9</v>
      </c>
      <c r="P10">
        <f>SUM(Table9[[#This Row],[Cereals and products]:[Food and beverages]])</f>
        <v>2261.9</v>
      </c>
      <c r="Q10">
        <f>IFERROR(ROUND((Table9[[#This Row],[Column1]]-P9)/P9*100,2),"")</f>
        <v>1.03</v>
      </c>
    </row>
    <row r="11" spans="1:17" x14ac:dyDescent="0.25">
      <c r="A11" t="s">
        <v>35</v>
      </c>
      <c r="B11" t="s">
        <v>182</v>
      </c>
      <c r="C11">
        <v>156.5</v>
      </c>
      <c r="D11">
        <v>213</v>
      </c>
      <c r="E11">
        <v>175.2</v>
      </c>
      <c r="F11">
        <v>166.6</v>
      </c>
      <c r="G11">
        <v>195.8</v>
      </c>
      <c r="H11">
        <v>174.2</v>
      </c>
      <c r="I11">
        <v>182.1</v>
      </c>
      <c r="J11">
        <v>164.3</v>
      </c>
      <c r="K11">
        <v>120</v>
      </c>
      <c r="L11">
        <v>190</v>
      </c>
      <c r="M11">
        <v>168.4</v>
      </c>
      <c r="N11">
        <v>185.2</v>
      </c>
      <c r="O11">
        <v>175</v>
      </c>
      <c r="P11">
        <f>SUM(Table9[[#This Row],[Cereals and products]:[Food and beverages]])</f>
        <v>2266.3000000000002</v>
      </c>
      <c r="Q11">
        <f>IFERROR(ROUND((Table9[[#This Row],[Column1]]-P10)/P10*100,2),"")</f>
        <v>0.19</v>
      </c>
    </row>
    <row r="12" spans="1:17" x14ac:dyDescent="0.25">
      <c r="A12" t="s">
        <v>35</v>
      </c>
      <c r="B12" t="s">
        <v>181</v>
      </c>
      <c r="C12">
        <v>160.30000000000001</v>
      </c>
      <c r="D12">
        <v>206.5</v>
      </c>
      <c r="E12">
        <v>169.2</v>
      </c>
      <c r="F12">
        <v>168.1</v>
      </c>
      <c r="G12">
        <v>192.4</v>
      </c>
      <c r="H12">
        <v>172.9</v>
      </c>
      <c r="I12">
        <v>186.7</v>
      </c>
      <c r="J12">
        <v>167.2</v>
      </c>
      <c r="K12">
        <v>120.9</v>
      </c>
      <c r="L12">
        <v>193.6</v>
      </c>
      <c r="M12">
        <v>168.8</v>
      </c>
      <c r="N12">
        <v>186.3</v>
      </c>
      <c r="O12">
        <v>176.3</v>
      </c>
      <c r="P12">
        <f>SUM(Table9[[#This Row],[Cereals and products]:[Food and beverages]])</f>
        <v>2269.2000000000003</v>
      </c>
      <c r="Q12">
        <f>IFERROR(ROUND((Table9[[#This Row],[Column1]]-P11)/P11*100,2),"")</f>
        <v>0.13</v>
      </c>
    </row>
    <row r="13" spans="1:17" x14ac:dyDescent="0.25">
      <c r="A13" t="s">
        <v>35</v>
      </c>
      <c r="B13" t="s">
        <v>180</v>
      </c>
      <c r="C13">
        <v>163.5</v>
      </c>
      <c r="D13">
        <v>209.2</v>
      </c>
      <c r="E13">
        <v>169.7</v>
      </c>
      <c r="F13">
        <v>169.7</v>
      </c>
      <c r="G13">
        <v>188.7</v>
      </c>
      <c r="H13">
        <v>165.7</v>
      </c>
      <c r="I13">
        <v>191.8</v>
      </c>
      <c r="J13">
        <v>169.1</v>
      </c>
      <c r="K13">
        <v>121.6</v>
      </c>
      <c r="L13">
        <v>197.3</v>
      </c>
      <c r="M13">
        <v>169.4</v>
      </c>
      <c r="N13">
        <v>187.4</v>
      </c>
      <c r="O13">
        <v>177.8</v>
      </c>
      <c r="P13">
        <f>SUM(Table9[[#This Row],[Cereals and products]:[Food and beverages]])</f>
        <v>2280.9</v>
      </c>
      <c r="Q13">
        <f>IFERROR(ROUND((Table9[[#This Row],[Column1]]-P12)/P12*100,2),"")</f>
        <v>0.52</v>
      </c>
    </row>
    <row r="14" spans="1:17" x14ac:dyDescent="0.25">
      <c r="A14" t="s">
        <v>35</v>
      </c>
      <c r="B14" t="s">
        <v>179</v>
      </c>
      <c r="C14">
        <v>165.2</v>
      </c>
      <c r="D14">
        <v>210.9</v>
      </c>
      <c r="E14">
        <v>170.9</v>
      </c>
      <c r="F14">
        <v>170.9</v>
      </c>
      <c r="G14">
        <v>186.5</v>
      </c>
      <c r="H14">
        <v>163.80000000000001</v>
      </c>
      <c r="I14">
        <v>199.7</v>
      </c>
      <c r="J14">
        <v>169.8</v>
      </c>
      <c r="K14">
        <v>121.9</v>
      </c>
      <c r="L14">
        <v>199.9</v>
      </c>
      <c r="M14">
        <v>169.9</v>
      </c>
      <c r="N14">
        <v>188.3</v>
      </c>
      <c r="O14">
        <v>179.6</v>
      </c>
      <c r="P14">
        <f>SUM(Table9[[#This Row],[Cereals and products]:[Food and beverages]])</f>
        <v>2297.3000000000002</v>
      </c>
      <c r="Q14">
        <f>IFERROR(ROUND((Table9[[#This Row],[Column1]]-P13)/P13*100,2),"")</f>
        <v>0.72</v>
      </c>
    </row>
    <row r="15" spans="1:17" x14ac:dyDescent="0.25">
      <c r="A15" t="s">
        <v>35</v>
      </c>
      <c r="B15" t="s">
        <v>178</v>
      </c>
      <c r="C15">
        <v>167.4</v>
      </c>
      <c r="D15">
        <v>209.4</v>
      </c>
      <c r="E15">
        <v>181.4</v>
      </c>
      <c r="F15">
        <v>172.3</v>
      </c>
      <c r="G15">
        <v>188.9</v>
      </c>
      <c r="H15">
        <v>160.69999999999999</v>
      </c>
      <c r="I15">
        <v>183.1</v>
      </c>
      <c r="J15">
        <v>170.5</v>
      </c>
      <c r="K15">
        <v>122.1</v>
      </c>
      <c r="L15">
        <v>202.8</v>
      </c>
      <c r="M15">
        <v>170.4</v>
      </c>
      <c r="N15">
        <v>189.5</v>
      </c>
      <c r="O15">
        <v>178.3</v>
      </c>
      <c r="P15">
        <f>SUM(Table9[[#This Row],[Cereals and products]:[Food and beverages]])</f>
        <v>2296.8000000000002</v>
      </c>
      <c r="Q15">
        <f>IFERROR(ROUND((Table9[[#This Row],[Column1]]-P14)/P14*100,2),"")</f>
        <v>-0.02</v>
      </c>
    </row>
    <row r="16" spans="1:17" x14ac:dyDescent="0.25">
      <c r="A16" t="s">
        <v>35</v>
      </c>
      <c r="B16" t="s">
        <v>177</v>
      </c>
      <c r="C16">
        <v>169.2</v>
      </c>
      <c r="D16">
        <v>209</v>
      </c>
      <c r="E16">
        <v>190.2</v>
      </c>
      <c r="F16">
        <v>173.6</v>
      </c>
      <c r="G16">
        <v>188.5</v>
      </c>
      <c r="H16">
        <v>158</v>
      </c>
      <c r="I16">
        <v>159.9</v>
      </c>
      <c r="J16">
        <v>170.8</v>
      </c>
      <c r="K16">
        <v>121.8</v>
      </c>
      <c r="L16">
        <v>205.2</v>
      </c>
      <c r="M16">
        <v>171</v>
      </c>
      <c r="N16">
        <v>190.3</v>
      </c>
      <c r="O16">
        <v>175.9</v>
      </c>
      <c r="P16">
        <f>SUM(Table9[[#This Row],[Cereals and products]:[Food and beverages]])</f>
        <v>2283.4</v>
      </c>
      <c r="Q16">
        <f>IFERROR(ROUND((Table9[[#This Row],[Column1]]-P15)/P15*100,2),"")</f>
        <v>-0.57999999999999996</v>
      </c>
    </row>
    <row r="17" spans="1:17" x14ac:dyDescent="0.25">
      <c r="A17" t="s">
        <v>35</v>
      </c>
      <c r="B17" t="s">
        <v>176</v>
      </c>
      <c r="C17">
        <v>173.8</v>
      </c>
      <c r="D17">
        <v>210.7</v>
      </c>
      <c r="E17">
        <v>194.5</v>
      </c>
      <c r="F17">
        <v>174.6</v>
      </c>
      <c r="G17">
        <v>187.2</v>
      </c>
      <c r="H17">
        <v>158.30000000000001</v>
      </c>
      <c r="I17">
        <v>153.9</v>
      </c>
      <c r="J17">
        <v>170.9</v>
      </c>
      <c r="K17">
        <v>121.1</v>
      </c>
      <c r="L17">
        <v>208.4</v>
      </c>
      <c r="M17">
        <v>171.4</v>
      </c>
      <c r="N17">
        <v>191.2</v>
      </c>
      <c r="O17">
        <v>176.7</v>
      </c>
      <c r="P17">
        <f>SUM(Table9[[#This Row],[Cereals and products]:[Food and beverages]])</f>
        <v>2292.6999999999998</v>
      </c>
      <c r="Q17">
        <f>IFERROR(ROUND((Table9[[#This Row],[Column1]]-P16)/P16*100,2),"")</f>
        <v>0.41</v>
      </c>
    </row>
    <row r="18" spans="1:17" x14ac:dyDescent="0.25">
      <c r="A18" t="s">
        <v>35</v>
      </c>
      <c r="B18" t="s">
        <v>175</v>
      </c>
      <c r="C18">
        <v>174.4</v>
      </c>
      <c r="D18">
        <v>207.7</v>
      </c>
      <c r="E18">
        <v>175.2</v>
      </c>
      <c r="F18">
        <v>177.3</v>
      </c>
      <c r="G18">
        <v>179.3</v>
      </c>
      <c r="H18">
        <v>169.5</v>
      </c>
      <c r="I18">
        <v>152.69999999999999</v>
      </c>
      <c r="J18">
        <v>171</v>
      </c>
      <c r="K18">
        <v>120</v>
      </c>
      <c r="L18">
        <v>209.7</v>
      </c>
      <c r="M18">
        <v>172.3</v>
      </c>
      <c r="N18">
        <v>193</v>
      </c>
      <c r="O18">
        <v>177</v>
      </c>
      <c r="P18">
        <f>SUM(Table9[[#This Row],[Cereals and products]:[Food and beverages]])</f>
        <v>2279.1</v>
      </c>
      <c r="Q18">
        <f>IFERROR(ROUND((Table9[[#This Row],[Column1]]-P17)/P17*100,2),"")</f>
        <v>-0.59</v>
      </c>
    </row>
    <row r="19" spans="1:17" x14ac:dyDescent="0.25">
      <c r="A19" t="s">
        <v>35</v>
      </c>
      <c r="B19" t="s">
        <v>174</v>
      </c>
      <c r="C19">
        <v>174.4</v>
      </c>
      <c r="D19">
        <v>207.7</v>
      </c>
      <c r="E19">
        <v>175.2</v>
      </c>
      <c r="F19">
        <v>177.3</v>
      </c>
      <c r="G19">
        <v>179.2</v>
      </c>
      <c r="H19">
        <v>169.5</v>
      </c>
      <c r="I19">
        <v>152.80000000000001</v>
      </c>
      <c r="J19">
        <v>171.1</v>
      </c>
      <c r="K19">
        <v>120</v>
      </c>
      <c r="L19">
        <v>209.7</v>
      </c>
      <c r="M19">
        <v>172.3</v>
      </c>
      <c r="N19">
        <v>193</v>
      </c>
      <c r="O19">
        <v>177</v>
      </c>
      <c r="P19">
        <f>SUM(Table9[[#This Row],[Cereals and products]:[Food and beverages]])</f>
        <v>2279.1999999999998</v>
      </c>
      <c r="Q19">
        <f>IFERROR(ROUND((Table9[[#This Row],[Column1]]-P18)/P18*100,2),"")</f>
        <v>0</v>
      </c>
    </row>
    <row r="20" spans="1:17" x14ac:dyDescent="0.25">
      <c r="A20" t="s">
        <v>35</v>
      </c>
      <c r="B20" t="s">
        <v>173</v>
      </c>
      <c r="C20">
        <v>173.8</v>
      </c>
      <c r="D20">
        <v>209.3</v>
      </c>
      <c r="E20">
        <v>169.6</v>
      </c>
      <c r="F20">
        <v>178.4</v>
      </c>
      <c r="G20">
        <v>174.9</v>
      </c>
      <c r="H20">
        <v>176.3</v>
      </c>
      <c r="I20">
        <v>155.4</v>
      </c>
      <c r="J20">
        <v>173.4</v>
      </c>
      <c r="K20">
        <v>121.3</v>
      </c>
      <c r="L20">
        <v>212.9</v>
      </c>
      <c r="M20">
        <v>172.9</v>
      </c>
      <c r="N20">
        <v>193.5</v>
      </c>
      <c r="O20">
        <v>177.9</v>
      </c>
      <c r="P20">
        <f>SUM(Table9[[#This Row],[Cereals and products]:[Food and beverages]])</f>
        <v>2289.6000000000004</v>
      </c>
      <c r="Q20">
        <f>IFERROR(ROUND((Table9[[#This Row],[Column1]]-P19)/P19*100,2),"")</f>
        <v>0.46</v>
      </c>
    </row>
    <row r="21" spans="1:17" x14ac:dyDescent="0.25">
      <c r="A21" t="s">
        <v>35</v>
      </c>
      <c r="B21" t="s">
        <v>170</v>
      </c>
      <c r="C21">
        <v>173.7</v>
      </c>
      <c r="D21">
        <v>214.3</v>
      </c>
      <c r="E21">
        <v>173.2</v>
      </c>
      <c r="F21">
        <v>179.5</v>
      </c>
      <c r="G21">
        <v>170</v>
      </c>
      <c r="H21">
        <v>172.2</v>
      </c>
      <c r="I21">
        <v>161</v>
      </c>
      <c r="J21">
        <v>175.6</v>
      </c>
      <c r="K21">
        <v>122.7</v>
      </c>
      <c r="L21">
        <v>218</v>
      </c>
      <c r="M21">
        <v>173.4</v>
      </c>
      <c r="N21">
        <v>194.2</v>
      </c>
      <c r="O21">
        <v>179.1</v>
      </c>
      <c r="P21">
        <f>SUM(Table9[[#This Row],[Cereals and products]:[Food and beverages]])</f>
        <v>2306.9</v>
      </c>
      <c r="Q21">
        <f>IFERROR(ROUND((Table9[[#This Row],[Column1]]-P20)/P20*100,2),"")</f>
        <v>0.76</v>
      </c>
    </row>
    <row r="26" spans="1:17" x14ac:dyDescent="0.25">
      <c r="A26" t="s">
        <v>201</v>
      </c>
      <c r="B26" t="s">
        <v>200</v>
      </c>
    </row>
    <row r="27" spans="1:17" x14ac:dyDescent="0.25">
      <c r="A27" t="s">
        <v>3</v>
      </c>
      <c r="B27">
        <f>ROUND((C21-C10)/C10*100,2)</f>
        <v>12.06</v>
      </c>
    </row>
    <row r="28" spans="1:17" x14ac:dyDescent="0.25">
      <c r="A28" t="s">
        <v>4</v>
      </c>
      <c r="B28">
        <f>ROUND((D21-D10)/D10*100,2)</f>
        <v>-2.3199999999999998</v>
      </c>
    </row>
    <row r="29" spans="1:17" x14ac:dyDescent="0.25">
      <c r="A29" t="s">
        <v>5</v>
      </c>
      <c r="B29">
        <f>ROUND((E21-E10)/E10*100,2)</f>
        <v>1.41</v>
      </c>
    </row>
    <row r="30" spans="1:17" x14ac:dyDescent="0.25">
      <c r="A30" t="s">
        <v>6</v>
      </c>
      <c r="B30">
        <f>ROUND((F21-F10)/F10*100,1=2)</f>
        <v>8</v>
      </c>
    </row>
    <row r="31" spans="1:17" x14ac:dyDescent="0.25">
      <c r="A31" t="s">
        <v>7</v>
      </c>
      <c r="B31">
        <f>ROUND((G21-G10)/G10*100,2)</f>
        <v>-15.38</v>
      </c>
    </row>
    <row r="32" spans="1:17" x14ac:dyDescent="0.25">
      <c r="A32" t="s">
        <v>8</v>
      </c>
      <c r="B32">
        <f>ROUND((H21-H10)/H10*100,2)</f>
        <v>1.47</v>
      </c>
    </row>
    <row r="33" spans="1:2" x14ac:dyDescent="0.25">
      <c r="A33" t="s">
        <v>9</v>
      </c>
      <c r="B33">
        <f>ROUND((I21-I10)/I10*100,2)</f>
        <v>-11.68</v>
      </c>
    </row>
    <row r="34" spans="1:2" x14ac:dyDescent="0.25">
      <c r="A34" t="s">
        <v>10</v>
      </c>
      <c r="B34">
        <f>ROUND((J21-J10)/J10*100,2)</f>
        <v>6.88</v>
      </c>
    </row>
    <row r="35" spans="1:2" x14ac:dyDescent="0.25">
      <c r="A35" t="s">
        <v>11</v>
      </c>
      <c r="B35">
        <f>ROUND((K21-K10)/K10*100,2)</f>
        <v>2.34</v>
      </c>
    </row>
    <row r="36" spans="1:2" x14ac:dyDescent="0.25">
      <c r="A36" t="s">
        <v>12</v>
      </c>
      <c r="B36">
        <f>ROUND((L21-L10)/L10*100,2)</f>
        <v>16.52</v>
      </c>
    </row>
    <row r="37" spans="1:2" x14ac:dyDescent="0.25">
      <c r="A37" t="s">
        <v>13</v>
      </c>
      <c r="B37">
        <f>ROUND((M21-M10)/M10*100,2)</f>
        <v>3.28</v>
      </c>
    </row>
    <row r="38" spans="1:2" x14ac:dyDescent="0.25">
      <c r="A38" t="s">
        <v>14</v>
      </c>
      <c r="B38">
        <f>ROUND((N21-N10)/N10*100,2)</f>
        <v>5.6</v>
      </c>
    </row>
    <row r="39" spans="1:2" x14ac:dyDescent="0.25">
      <c r="A39" t="s">
        <v>15</v>
      </c>
      <c r="B39">
        <f>ROUND((O21-O10)/O10*100,2)</f>
        <v>2.4</v>
      </c>
    </row>
  </sheetData>
  <mergeCells count="1">
    <mergeCell ref="A7:Q7"/>
  </mergeCells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01F9-5876-4DFE-BAEB-5031740BD2DB}">
  <dimension ref="A1:E25"/>
  <sheetViews>
    <sheetView zoomScale="80" zoomScaleNormal="80" workbookViewId="0">
      <selection activeCell="A3" sqref="A3:A4"/>
    </sheetView>
  </sheetViews>
  <sheetFormatPr defaultRowHeight="15" x14ac:dyDescent="0.25"/>
  <cols>
    <col min="1" max="1" width="13" customWidth="1"/>
    <col min="2" max="3" width="9.140625" bestFit="1" customWidth="1"/>
    <col min="4" max="4" width="10.85546875" customWidth="1"/>
    <col min="5" max="5" width="12" bestFit="1" customWidth="1"/>
  </cols>
  <sheetData>
    <row r="1" spans="1:5" x14ac:dyDescent="0.25">
      <c r="A1" s="5" t="s">
        <v>199</v>
      </c>
    </row>
    <row r="2" spans="1:5" x14ac:dyDescent="0.25">
      <c r="A2" s="6" t="s">
        <v>229</v>
      </c>
      <c r="B2" s="1"/>
    </row>
    <row r="3" spans="1:5" x14ac:dyDescent="0.25">
      <c r="A3" s="6" t="s">
        <v>230</v>
      </c>
      <c r="B3" s="1"/>
    </row>
    <row r="4" spans="1:5" x14ac:dyDescent="0.25">
      <c r="A4" s="6" t="s">
        <v>231</v>
      </c>
      <c r="B4" s="1"/>
    </row>
    <row r="5" spans="1:5" x14ac:dyDescent="0.25">
      <c r="B5" s="1"/>
    </row>
    <row r="7" spans="1:5" x14ac:dyDescent="0.25">
      <c r="A7" t="s">
        <v>0</v>
      </c>
      <c r="B7" t="s">
        <v>1</v>
      </c>
      <c r="C7" t="s">
        <v>188</v>
      </c>
      <c r="D7" t="s">
        <v>189</v>
      </c>
      <c r="E7" t="s">
        <v>213</v>
      </c>
    </row>
    <row r="8" spans="1:5" x14ac:dyDescent="0.25">
      <c r="A8" t="s">
        <v>35</v>
      </c>
      <c r="B8" t="s">
        <v>208</v>
      </c>
      <c r="C8">
        <v>1756</v>
      </c>
      <c r="D8">
        <v>134.30000000000001</v>
      </c>
      <c r="E8">
        <v>674.90000000000009</v>
      </c>
    </row>
    <row r="9" spans="1:5" x14ac:dyDescent="0.25">
      <c r="A9" t="s">
        <v>35</v>
      </c>
      <c r="B9" t="s">
        <v>209</v>
      </c>
      <c r="C9">
        <v>1757.1</v>
      </c>
      <c r="D9">
        <v>145.6</v>
      </c>
      <c r="E9">
        <v>704.8</v>
      </c>
    </row>
    <row r="10" spans="1:5" x14ac:dyDescent="0.25">
      <c r="A10" t="s">
        <v>35</v>
      </c>
      <c r="B10" t="s">
        <v>210</v>
      </c>
      <c r="C10">
        <v>1762.9</v>
      </c>
      <c r="D10">
        <v>146.19999999999999</v>
      </c>
      <c r="E10">
        <v>707.40000000000009</v>
      </c>
    </row>
    <row r="11" spans="1:5" x14ac:dyDescent="0.25">
      <c r="A11" t="s">
        <v>35</v>
      </c>
      <c r="B11" t="s">
        <v>205</v>
      </c>
      <c r="C11">
        <v>1911.6</v>
      </c>
      <c r="D11">
        <v>151.69999999999999</v>
      </c>
      <c r="E11">
        <v>734.90000000000009</v>
      </c>
    </row>
    <row r="12" spans="1:5" x14ac:dyDescent="0.25">
      <c r="A12" t="s">
        <v>35</v>
      </c>
      <c r="B12" t="s">
        <v>206</v>
      </c>
      <c r="C12">
        <v>1895.4</v>
      </c>
      <c r="D12">
        <v>152.30000000000001</v>
      </c>
      <c r="E12">
        <v>735.8</v>
      </c>
    </row>
    <row r="13" spans="1:5" x14ac:dyDescent="0.25">
      <c r="A13" t="s">
        <v>35</v>
      </c>
      <c r="B13" t="s">
        <v>211</v>
      </c>
      <c r="C13">
        <v>2039.3000000000002</v>
      </c>
      <c r="D13">
        <v>161.30000000000001</v>
      </c>
      <c r="E13">
        <v>767.7</v>
      </c>
    </row>
    <row r="14" spans="1:5" x14ac:dyDescent="0.25">
      <c r="A14" t="s">
        <v>35</v>
      </c>
      <c r="B14" t="s">
        <v>212</v>
      </c>
      <c r="C14">
        <v>2039.3999999999999</v>
      </c>
      <c r="D14">
        <v>161.69999999999999</v>
      </c>
      <c r="E14">
        <v>773</v>
      </c>
    </row>
    <row r="15" spans="1:5" x14ac:dyDescent="0.25">
      <c r="A15" t="s">
        <v>35</v>
      </c>
      <c r="B15" t="s">
        <v>207</v>
      </c>
      <c r="C15">
        <v>2161.2000000000003</v>
      </c>
      <c r="D15">
        <v>172.2</v>
      </c>
      <c r="E15">
        <v>815.3</v>
      </c>
    </row>
    <row r="16" spans="1:5" x14ac:dyDescent="0.25">
      <c r="A16" t="s">
        <v>35</v>
      </c>
      <c r="B16" s="10" t="s">
        <v>220</v>
      </c>
      <c r="C16">
        <v>2184.2000000000003</v>
      </c>
      <c r="D16">
        <v>173</v>
      </c>
      <c r="E16">
        <v>819.2</v>
      </c>
    </row>
    <row r="17" spans="1:5" x14ac:dyDescent="0.25">
      <c r="A17" t="s">
        <v>35</v>
      </c>
      <c r="B17" s="10" t="s">
        <v>175</v>
      </c>
      <c r="C17">
        <v>2279.1</v>
      </c>
      <c r="D17">
        <v>184.4</v>
      </c>
      <c r="E17">
        <v>869</v>
      </c>
    </row>
    <row r="20" spans="1:5" x14ac:dyDescent="0.25">
      <c r="A20" s="7" t="s">
        <v>226</v>
      </c>
      <c r="B20" t="s">
        <v>1</v>
      </c>
      <c r="C20" t="s">
        <v>188</v>
      </c>
      <c r="D20" t="s">
        <v>23</v>
      </c>
      <c r="E20" t="s">
        <v>213</v>
      </c>
    </row>
    <row r="21" spans="1:5" x14ac:dyDescent="0.25">
      <c r="A21" s="8" t="s">
        <v>227</v>
      </c>
      <c r="B21" t="s">
        <v>221</v>
      </c>
      <c r="C21">
        <f>ROUND((C9-C8)/C8*100,2)</f>
        <v>0.06</v>
      </c>
      <c r="D21">
        <f>ROUND((D9-D8)/D8*100,2)</f>
        <v>8.41</v>
      </c>
      <c r="E21">
        <f>ROUND((E9-E8)/E8*100,2)</f>
        <v>4.43</v>
      </c>
    </row>
    <row r="22" spans="1:5" x14ac:dyDescent="0.25">
      <c r="A22" s="9" t="s">
        <v>227</v>
      </c>
      <c r="B22" t="s">
        <v>222</v>
      </c>
      <c r="C22">
        <f>ROUND((C11-C10)/C10*100,2)</f>
        <v>8.43</v>
      </c>
      <c r="D22">
        <f>ROUND((D11-D10)/D10*100,2)</f>
        <v>3.76</v>
      </c>
      <c r="E22">
        <f>ROUND((E11-E10)/E10*100,2)</f>
        <v>3.89</v>
      </c>
    </row>
    <row r="23" spans="1:5" x14ac:dyDescent="0.25">
      <c r="A23" s="8" t="s">
        <v>228</v>
      </c>
      <c r="B23" t="s">
        <v>223</v>
      </c>
      <c r="C23">
        <f>ROUND((C13-C12)/C12*100,2)</f>
        <v>7.59</v>
      </c>
      <c r="D23">
        <f>ROUND((D13-D12)/D12*100,2)</f>
        <v>5.91</v>
      </c>
      <c r="E23">
        <f>ROUND((E13-E12)/E12*100,2)</f>
        <v>4.34</v>
      </c>
    </row>
    <row r="24" spans="1:5" x14ac:dyDescent="0.25">
      <c r="A24" s="9" t="s">
        <v>228</v>
      </c>
      <c r="B24" t="s">
        <v>224</v>
      </c>
      <c r="C24">
        <f>ROUND((C15-C14)/C14*100,2)</f>
        <v>5.97</v>
      </c>
      <c r="D24">
        <f>ROUND((D15-D14)/D14*100,2)</f>
        <v>6.49</v>
      </c>
      <c r="E24">
        <f>ROUND((E15-E14)/E14*100,2)</f>
        <v>5.47</v>
      </c>
    </row>
    <row r="25" spans="1:5" x14ac:dyDescent="0.25">
      <c r="A25" s="8" t="s">
        <v>228</v>
      </c>
      <c r="B25" t="s">
        <v>225</v>
      </c>
      <c r="C25">
        <f>ROUND((C17-C16)/C16*100,2)</f>
        <v>4.34</v>
      </c>
      <c r="D25">
        <f>ROUND((D17-D16)/D16*100,2)</f>
        <v>6.59</v>
      </c>
      <c r="E25">
        <f>ROUND((E17-E16)/E16*100,2)</f>
        <v>6.08</v>
      </c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6EB7-20B8-4CDE-A8A1-D96A5CA3F2F3}">
  <dimension ref="A1:AF12"/>
  <sheetViews>
    <sheetView zoomScale="80" zoomScaleNormal="80" workbookViewId="0">
      <selection activeCell="R20" sqref="R20"/>
    </sheetView>
  </sheetViews>
  <sheetFormatPr defaultRowHeight="15" x14ac:dyDescent="0.25"/>
  <cols>
    <col min="1" max="1" width="15.28515625" bestFit="1" customWidth="1"/>
    <col min="2" max="2" width="14" customWidth="1"/>
    <col min="3" max="3" width="11.7109375" customWidth="1"/>
    <col min="4" max="4" width="10.7109375" customWidth="1"/>
    <col min="5" max="5" width="11.140625" customWidth="1"/>
    <col min="6" max="6" width="11.42578125" customWidth="1"/>
    <col min="7" max="7" width="11" customWidth="1"/>
    <col min="8" max="8" width="11.7109375" customWidth="1"/>
    <col min="9" max="9" width="10.85546875" customWidth="1"/>
    <col min="10" max="10" width="10.28515625" customWidth="1"/>
    <col min="11" max="11" width="11.28515625" customWidth="1"/>
    <col min="12" max="12" width="11.140625" customWidth="1"/>
    <col min="13" max="13" width="10.85546875" customWidth="1"/>
    <col min="14" max="14" width="11.42578125" customWidth="1"/>
    <col min="15" max="15" width="11.140625" customWidth="1"/>
    <col min="16" max="16" width="10.7109375" customWidth="1"/>
    <col min="17" max="17" width="11.140625" customWidth="1"/>
    <col min="18" max="18" width="11.42578125" customWidth="1"/>
    <col min="19" max="19" width="11" customWidth="1"/>
    <col min="20" max="20" width="11.7109375" customWidth="1"/>
    <col min="21" max="21" width="10.85546875" customWidth="1"/>
    <col min="22" max="22" width="10.28515625" customWidth="1"/>
    <col min="23" max="23" width="11.28515625" customWidth="1"/>
    <col min="24" max="24" width="11.140625" customWidth="1"/>
    <col min="25" max="25" width="10.85546875" customWidth="1"/>
    <col min="26" max="26" width="11.42578125" customWidth="1"/>
    <col min="27" max="27" width="11.140625" customWidth="1"/>
    <col min="28" max="28" width="10.7109375" customWidth="1"/>
    <col min="29" max="29" width="11.140625" customWidth="1"/>
    <col min="30" max="30" width="11.42578125" customWidth="1"/>
    <col min="31" max="31" width="11" customWidth="1"/>
    <col min="32" max="32" width="11.7109375" customWidth="1"/>
  </cols>
  <sheetData>
    <row r="1" spans="1:32" x14ac:dyDescent="0.25">
      <c r="A1" s="5" t="s">
        <v>199</v>
      </c>
    </row>
    <row r="2" spans="1:32" x14ac:dyDescent="0.25">
      <c r="A2" s="1" t="s">
        <v>254</v>
      </c>
    </row>
    <row r="3" spans="1:32" x14ac:dyDescent="0.25">
      <c r="A3" s="1" t="s">
        <v>255</v>
      </c>
    </row>
    <row r="5" spans="1:32" x14ac:dyDescent="0.25">
      <c r="A5" t="s">
        <v>0</v>
      </c>
      <c r="B5" t="s">
        <v>184</v>
      </c>
      <c r="C5" t="s">
        <v>253</v>
      </c>
      <c r="D5" t="s">
        <v>240</v>
      </c>
      <c r="E5" t="s">
        <v>211</v>
      </c>
      <c r="F5" t="s">
        <v>212</v>
      </c>
      <c r="G5" t="s">
        <v>241</v>
      </c>
      <c r="H5" t="s">
        <v>242</v>
      </c>
      <c r="I5" t="s">
        <v>243</v>
      </c>
      <c r="J5" t="s">
        <v>244</v>
      </c>
      <c r="K5" t="s">
        <v>245</v>
      </c>
      <c r="L5" t="s">
        <v>246</v>
      </c>
      <c r="M5" t="s">
        <v>247</v>
      </c>
      <c r="N5" t="s">
        <v>248</v>
      </c>
      <c r="O5" t="s">
        <v>249</v>
      </c>
      <c r="P5" t="s">
        <v>250</v>
      </c>
      <c r="Q5" t="s">
        <v>207</v>
      </c>
      <c r="R5" t="s">
        <v>220</v>
      </c>
      <c r="S5" t="s">
        <v>251</v>
      </c>
      <c r="T5" t="s">
        <v>203</v>
      </c>
      <c r="U5" t="s">
        <v>183</v>
      </c>
      <c r="V5" t="s">
        <v>182</v>
      </c>
      <c r="W5" t="s">
        <v>181</v>
      </c>
      <c r="X5" t="s">
        <v>180</v>
      </c>
      <c r="Y5" t="s">
        <v>179</v>
      </c>
      <c r="Z5" t="s">
        <v>178</v>
      </c>
      <c r="AA5" t="s">
        <v>177</v>
      </c>
      <c r="AB5" t="s">
        <v>176</v>
      </c>
      <c r="AC5" t="s">
        <v>175</v>
      </c>
      <c r="AD5" t="s">
        <v>174</v>
      </c>
      <c r="AE5" t="s">
        <v>173</v>
      </c>
      <c r="AF5" t="s">
        <v>170</v>
      </c>
    </row>
    <row r="6" spans="1:32" x14ac:dyDescent="0.25">
      <c r="A6" t="s">
        <v>35</v>
      </c>
      <c r="B6" t="s">
        <v>188</v>
      </c>
      <c r="C6">
        <f>ROUND(CORREL(Table8[[#This Row],[Jan-2021]:[May-2023]],$D$12:$AF$12),2)</f>
        <v>0.71</v>
      </c>
      <c r="D6">
        <v>2076.5</v>
      </c>
      <c r="E6">
        <v>2039.3000000000002</v>
      </c>
      <c r="F6">
        <v>2039.3999999999999</v>
      </c>
      <c r="G6">
        <v>2064.1</v>
      </c>
      <c r="H6">
        <v>2105.7000000000003</v>
      </c>
      <c r="I6">
        <v>2133.9</v>
      </c>
      <c r="J6">
        <v>2147</v>
      </c>
      <c r="K6">
        <v>2142</v>
      </c>
      <c r="L6">
        <v>2142</v>
      </c>
      <c r="M6">
        <v>2175.5</v>
      </c>
      <c r="N6">
        <v>2194.1</v>
      </c>
      <c r="O6">
        <v>2180.9</v>
      </c>
      <c r="P6">
        <v>2164.1999999999998</v>
      </c>
      <c r="Q6">
        <v>2161.2000000000003</v>
      </c>
      <c r="R6">
        <v>2184.2000000000003</v>
      </c>
      <c r="S6">
        <v>2214.3000000000002</v>
      </c>
      <c r="T6">
        <v>2238.9000000000005</v>
      </c>
      <c r="U6">
        <v>2261.9</v>
      </c>
      <c r="V6">
        <v>2266.3000000000002</v>
      </c>
      <c r="W6">
        <v>2269.2000000000003</v>
      </c>
      <c r="X6">
        <v>2280.9</v>
      </c>
      <c r="Y6">
        <v>2297.3000000000002</v>
      </c>
      <c r="Z6">
        <v>2296.8000000000002</v>
      </c>
      <c r="AA6">
        <v>2283.4</v>
      </c>
      <c r="AB6">
        <v>2292.6999999999998</v>
      </c>
      <c r="AC6">
        <v>2279.1</v>
      </c>
      <c r="AD6">
        <v>2279.1999999999998</v>
      </c>
      <c r="AE6">
        <v>2289.6000000000004</v>
      </c>
      <c r="AF6">
        <v>2306.9</v>
      </c>
    </row>
    <row r="7" spans="1:32" x14ac:dyDescent="0.25">
      <c r="A7" t="s">
        <v>35</v>
      </c>
      <c r="B7" t="s">
        <v>213</v>
      </c>
      <c r="C7">
        <f>ROUND(CORREL(Table8[[#This Row],[Jan-2021]:[May-2023]],$D$12:$AF$12),2)</f>
        <v>0.67</v>
      </c>
      <c r="D7">
        <v>756.7</v>
      </c>
      <c r="E7">
        <v>767.7</v>
      </c>
      <c r="F7">
        <v>773</v>
      </c>
      <c r="G7">
        <v>775.7</v>
      </c>
      <c r="H7">
        <v>785.8</v>
      </c>
      <c r="I7">
        <v>787.5</v>
      </c>
      <c r="J7">
        <v>794.3</v>
      </c>
      <c r="K7">
        <v>800</v>
      </c>
      <c r="L7">
        <v>799.90000000000009</v>
      </c>
      <c r="M7">
        <v>805.79999999999984</v>
      </c>
      <c r="N7">
        <v>806.5</v>
      </c>
      <c r="O7">
        <v>807.8</v>
      </c>
      <c r="P7">
        <v>811</v>
      </c>
      <c r="Q7">
        <v>815.3</v>
      </c>
      <c r="R7">
        <v>819.2</v>
      </c>
      <c r="S7">
        <v>832.69999999999993</v>
      </c>
      <c r="T7">
        <v>838.19999999999993</v>
      </c>
      <c r="U7">
        <v>839.30000000000007</v>
      </c>
      <c r="V7">
        <v>847.8</v>
      </c>
      <c r="W7">
        <v>850.5</v>
      </c>
      <c r="X7">
        <v>853.9</v>
      </c>
      <c r="Y7">
        <v>858.4</v>
      </c>
      <c r="Z7">
        <v>861.2</v>
      </c>
      <c r="AA7">
        <v>862.3</v>
      </c>
      <c r="AB7">
        <v>864.90000000000009</v>
      </c>
      <c r="AC7">
        <v>869</v>
      </c>
      <c r="AD7">
        <v>868.8</v>
      </c>
      <c r="AE7">
        <v>872.4</v>
      </c>
      <c r="AF7">
        <v>875.49999999999989</v>
      </c>
    </row>
    <row r="8" spans="1:32" x14ac:dyDescent="0.25">
      <c r="A8" t="s">
        <v>35</v>
      </c>
      <c r="B8" t="s">
        <v>17</v>
      </c>
      <c r="C8">
        <f>ROUND(CORREL(Table8[[#This Row],[Jan-2021]:[May-2023]],$D$12:$AF$12),2)</f>
        <v>0.66</v>
      </c>
      <c r="D8">
        <v>455.8</v>
      </c>
      <c r="E8">
        <v>460.40000000000003</v>
      </c>
      <c r="F8">
        <v>462.1</v>
      </c>
      <c r="G8">
        <v>464.6</v>
      </c>
      <c r="H8">
        <v>474.29999999999995</v>
      </c>
      <c r="I8">
        <v>474.7</v>
      </c>
      <c r="J8">
        <v>477.29999999999995</v>
      </c>
      <c r="K8">
        <v>483</v>
      </c>
      <c r="L8">
        <v>483.2</v>
      </c>
      <c r="M8">
        <v>486.3</v>
      </c>
      <c r="N8">
        <v>490.40000000000003</v>
      </c>
      <c r="O8">
        <v>494.2</v>
      </c>
      <c r="P8">
        <v>499.1</v>
      </c>
      <c r="Q8">
        <v>502.80000000000007</v>
      </c>
      <c r="R8">
        <v>507.79999999999995</v>
      </c>
      <c r="S8">
        <v>513.20000000000005</v>
      </c>
      <c r="T8">
        <v>518.6</v>
      </c>
      <c r="U8">
        <v>523</v>
      </c>
      <c r="V8">
        <v>526.90000000000009</v>
      </c>
      <c r="W8">
        <v>530.70000000000005</v>
      </c>
      <c r="X8">
        <v>535.1</v>
      </c>
      <c r="Y8">
        <v>538.20000000000005</v>
      </c>
      <c r="Z8">
        <v>541.4</v>
      </c>
      <c r="AA8">
        <v>544</v>
      </c>
      <c r="AB8">
        <v>546.29999999999995</v>
      </c>
      <c r="AC8">
        <v>550</v>
      </c>
      <c r="AD8">
        <v>549.9</v>
      </c>
      <c r="AE8">
        <v>551.79999999999995</v>
      </c>
      <c r="AF8">
        <v>553.20000000000005</v>
      </c>
    </row>
    <row r="9" spans="1:32" x14ac:dyDescent="0.25">
      <c r="A9" t="s">
        <v>35</v>
      </c>
      <c r="B9" t="s">
        <v>23</v>
      </c>
      <c r="C9">
        <f>ROUND(CORREL(Table8[[#This Row],[Jan-2021]:[May-2023]],$D$12:$AF$12),2)</f>
        <v>0.61</v>
      </c>
      <c r="D9">
        <v>159.30000000000001</v>
      </c>
      <c r="E9">
        <v>161.30000000000001</v>
      </c>
      <c r="F9">
        <v>161.69999999999999</v>
      </c>
      <c r="G9">
        <v>162.30000000000001</v>
      </c>
      <c r="H9">
        <v>165.8</v>
      </c>
      <c r="I9">
        <v>166.3</v>
      </c>
      <c r="J9">
        <v>167</v>
      </c>
      <c r="K9">
        <v>168.4</v>
      </c>
      <c r="L9">
        <v>168.4</v>
      </c>
      <c r="M9">
        <v>169.1</v>
      </c>
      <c r="N9">
        <v>169.9</v>
      </c>
      <c r="O9">
        <v>170.6</v>
      </c>
      <c r="P9">
        <v>171.4</v>
      </c>
      <c r="Q9">
        <v>172.2</v>
      </c>
      <c r="R9">
        <v>173</v>
      </c>
      <c r="S9">
        <v>174</v>
      </c>
      <c r="T9">
        <v>174.8</v>
      </c>
      <c r="U9">
        <v>175.4</v>
      </c>
      <c r="V9">
        <v>176.1</v>
      </c>
      <c r="W9">
        <v>176.8</v>
      </c>
      <c r="X9">
        <v>177.8</v>
      </c>
      <c r="Y9">
        <v>178.7</v>
      </c>
      <c r="Z9">
        <v>179.8</v>
      </c>
      <c r="AA9">
        <v>181.1</v>
      </c>
      <c r="AB9">
        <v>182.3</v>
      </c>
      <c r="AC9">
        <v>184.4</v>
      </c>
      <c r="AD9">
        <v>184.4</v>
      </c>
      <c r="AE9">
        <v>185</v>
      </c>
      <c r="AF9">
        <v>185.7</v>
      </c>
    </row>
    <row r="10" spans="1:32" x14ac:dyDescent="0.25">
      <c r="A10" t="s">
        <v>35</v>
      </c>
      <c r="B10" t="s">
        <v>190</v>
      </c>
      <c r="C10">
        <f>ROUND(CORREL(Table8[[#This Row],[Jan-2021]:[May-2023]],$D$12:$AF$12),2)</f>
        <v>0.6</v>
      </c>
      <c r="D10">
        <v>492.90000000000003</v>
      </c>
      <c r="E10">
        <v>495.6</v>
      </c>
      <c r="F10">
        <v>494.5</v>
      </c>
      <c r="G10">
        <v>497.4</v>
      </c>
      <c r="H10">
        <v>506.30000000000007</v>
      </c>
      <c r="I10">
        <v>504.50000000000006</v>
      </c>
      <c r="J10">
        <v>506.6</v>
      </c>
      <c r="K10">
        <v>509.7</v>
      </c>
      <c r="L10">
        <v>509.79999999999995</v>
      </c>
      <c r="M10">
        <v>512.09999999999991</v>
      </c>
      <c r="N10">
        <v>514.90000000000009</v>
      </c>
      <c r="O10">
        <v>515.6</v>
      </c>
      <c r="P10">
        <v>516.4</v>
      </c>
      <c r="Q10">
        <v>519.29999999999995</v>
      </c>
      <c r="R10">
        <v>524.20000000000005</v>
      </c>
      <c r="S10">
        <v>527.1</v>
      </c>
      <c r="T10">
        <v>527.6</v>
      </c>
      <c r="U10">
        <v>529.5</v>
      </c>
      <c r="V10">
        <v>530.59999999999991</v>
      </c>
      <c r="W10">
        <v>533.09999999999991</v>
      </c>
      <c r="X10">
        <v>534.4</v>
      </c>
      <c r="Y10">
        <v>536.6</v>
      </c>
      <c r="Z10">
        <v>539</v>
      </c>
      <c r="AA10">
        <v>542</v>
      </c>
      <c r="AB10">
        <v>546.29999999999995</v>
      </c>
      <c r="AC10">
        <v>550.79999999999995</v>
      </c>
      <c r="AD10">
        <v>550.79999999999995</v>
      </c>
      <c r="AE10">
        <v>555.29999999999995</v>
      </c>
      <c r="AF10">
        <v>557.4</v>
      </c>
    </row>
    <row r="11" spans="1:32" x14ac:dyDescent="0.25">
      <c r="A11" t="s">
        <v>35</v>
      </c>
      <c r="B11" t="s">
        <v>28</v>
      </c>
      <c r="C11">
        <f>ROUND(CORREL(Table8[[#This Row],[Jan-2021]:[May-2023]],$D$12:$AF$12),2)</f>
        <v>0.66</v>
      </c>
      <c r="D11">
        <v>151.9</v>
      </c>
      <c r="E11">
        <v>153.4</v>
      </c>
      <c r="F11">
        <v>153.80000000000001</v>
      </c>
      <c r="G11">
        <v>154.4</v>
      </c>
      <c r="H11">
        <v>156.80000000000001</v>
      </c>
      <c r="I11">
        <v>157.6</v>
      </c>
      <c r="J11">
        <v>159</v>
      </c>
      <c r="K11">
        <v>160</v>
      </c>
      <c r="L11">
        <v>160</v>
      </c>
      <c r="M11">
        <v>161</v>
      </c>
      <c r="N11">
        <v>161.4</v>
      </c>
      <c r="O11">
        <v>162</v>
      </c>
      <c r="P11">
        <v>162.69999999999999</v>
      </c>
      <c r="Q11">
        <v>163.5</v>
      </c>
      <c r="R11">
        <v>164.6</v>
      </c>
      <c r="S11">
        <v>166.8</v>
      </c>
      <c r="T11">
        <v>167.5</v>
      </c>
      <c r="U11">
        <v>167.5</v>
      </c>
      <c r="V11">
        <v>168.4</v>
      </c>
      <c r="W11">
        <v>169.1</v>
      </c>
      <c r="X11">
        <v>169.7</v>
      </c>
      <c r="Y11">
        <v>170.5</v>
      </c>
      <c r="Z11">
        <v>171.1</v>
      </c>
      <c r="AA11">
        <v>172</v>
      </c>
      <c r="AB11">
        <v>172.8</v>
      </c>
      <c r="AC11">
        <v>174.1</v>
      </c>
      <c r="AD11">
        <v>174.1</v>
      </c>
      <c r="AE11">
        <v>175</v>
      </c>
      <c r="AF11">
        <v>175.7</v>
      </c>
    </row>
    <row r="12" spans="1:32" x14ac:dyDescent="0.25">
      <c r="B12" t="s">
        <v>252</v>
      </c>
      <c r="C12">
        <f>ROUND(CORREL(Table8[[#This Row],[Jan-2021]:[May-2023]],$D$12:$AF$12),2)</f>
        <v>1</v>
      </c>
      <c r="D12">
        <v>3918.56</v>
      </c>
      <c r="E12">
        <v>4399.41</v>
      </c>
      <c r="F12">
        <v>4646.3599999999997</v>
      </c>
      <c r="G12">
        <v>4684.6400000000003</v>
      </c>
      <c r="H12">
        <v>4870.9799999999996</v>
      </c>
      <c r="I12">
        <v>5281.48</v>
      </c>
      <c r="J12">
        <v>5460.9</v>
      </c>
      <c r="K12">
        <v>5108.7299999999996</v>
      </c>
      <c r="L12">
        <v>5359.17</v>
      </c>
      <c r="M12">
        <v>6146.58</v>
      </c>
      <c r="N12">
        <v>5952.69</v>
      </c>
      <c r="O12">
        <v>5504.55</v>
      </c>
      <c r="P12">
        <v>6247.71</v>
      </c>
      <c r="Q12">
        <v>7018.51</v>
      </c>
      <c r="R12">
        <v>8569.8799999999992</v>
      </c>
      <c r="S12">
        <v>7877.96</v>
      </c>
      <c r="T12">
        <v>8511.74</v>
      </c>
      <c r="U12">
        <v>9119.5499999999993</v>
      </c>
      <c r="V12">
        <v>8366.39</v>
      </c>
      <c r="W12">
        <v>7634.9</v>
      </c>
      <c r="X12">
        <v>7079.45</v>
      </c>
      <c r="Y12">
        <v>7437.13</v>
      </c>
      <c r="Z12">
        <v>7150.11</v>
      </c>
      <c r="AA12">
        <v>6429.95</v>
      </c>
      <c r="AB12">
        <v>6584.69</v>
      </c>
      <c r="AC12">
        <v>6628.99</v>
      </c>
      <c r="AD12">
        <v>6292.9</v>
      </c>
      <c r="AE12">
        <v>6763.43</v>
      </c>
      <c r="AF12">
        <v>6102.52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D5BB8E3-4FAA-4E5E-B8A8-E093FB6E34E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C6:C11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8E0A-9334-4553-A968-5715674E0BC6}">
  <dimension ref="A1:A14"/>
  <sheetViews>
    <sheetView workbookViewId="0">
      <selection activeCell="H18" sqref="H18"/>
    </sheetView>
  </sheetViews>
  <sheetFormatPr defaultRowHeight="15" x14ac:dyDescent="0.25"/>
  <sheetData>
    <row r="1" spans="1:1" x14ac:dyDescent="0.25">
      <c r="A1" s="1" t="s">
        <v>165</v>
      </c>
    </row>
    <row r="2" spans="1:1" x14ac:dyDescent="0.25">
      <c r="A2" t="s">
        <v>166</v>
      </c>
    </row>
    <row r="3" spans="1:1" x14ac:dyDescent="0.25">
      <c r="A3" t="s">
        <v>167</v>
      </c>
    </row>
    <row r="4" spans="1:1" x14ac:dyDescent="0.25">
      <c r="A4" t="s">
        <v>168</v>
      </c>
    </row>
    <row r="6" spans="1:1" x14ac:dyDescent="0.25">
      <c r="A6" s="1" t="s">
        <v>236</v>
      </c>
    </row>
    <row r="7" spans="1:1" x14ac:dyDescent="0.25">
      <c r="A7" t="s">
        <v>238</v>
      </c>
    </row>
    <row r="8" spans="1:1" x14ac:dyDescent="0.25">
      <c r="A8" s="1"/>
    </row>
    <row r="9" spans="1:1" x14ac:dyDescent="0.25">
      <c r="A9" s="1" t="s">
        <v>237</v>
      </c>
    </row>
    <row r="10" spans="1:1" x14ac:dyDescent="0.25">
      <c r="A10" t="s">
        <v>169</v>
      </c>
    </row>
    <row r="11" spans="1:1" x14ac:dyDescent="0.25">
      <c r="A11" t="s">
        <v>232</v>
      </c>
    </row>
    <row r="12" spans="1:1" x14ac:dyDescent="0.25">
      <c r="A12" t="s">
        <v>233</v>
      </c>
    </row>
    <row r="13" spans="1:1" x14ac:dyDescent="0.25">
      <c r="A13" t="s">
        <v>234</v>
      </c>
    </row>
    <row r="14" spans="1:1" x14ac:dyDescent="0.25">
      <c r="A14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89D1-5E13-4863-87EC-12D3ECD27E92}">
  <dimension ref="A1:AI373"/>
  <sheetViews>
    <sheetView topLeftCell="AD1" workbookViewId="0">
      <selection activeCell="AH4" sqref="AH4"/>
    </sheetView>
  </sheetViews>
  <sheetFormatPr defaultRowHeight="15" x14ac:dyDescent="0.25"/>
  <cols>
    <col min="5" max="5" width="21.5703125" customWidth="1"/>
    <col min="6" max="6" width="15.28515625" customWidth="1"/>
    <col min="8" max="8" width="19" customWidth="1"/>
    <col min="9" max="9" width="14" customWidth="1"/>
    <col min="11" max="11" width="13.140625" customWidth="1"/>
    <col min="12" max="12" width="20.7109375" customWidth="1"/>
    <col min="13" max="13" width="24.7109375" customWidth="1"/>
    <col min="15" max="15" width="25" customWidth="1"/>
    <col min="16" max="16" width="34.7109375" customWidth="1"/>
    <col min="17" max="17" width="20.85546875" customWidth="1"/>
    <col min="18" max="18" width="28.140625" customWidth="1"/>
    <col min="19" max="19" width="10.5703125" customWidth="1"/>
    <col min="20" max="20" width="11.5703125" customWidth="1"/>
    <col min="21" max="21" width="22.85546875" customWidth="1"/>
    <col min="22" max="22" width="10.28515625" customWidth="1"/>
    <col min="23" max="23" width="15.140625" customWidth="1"/>
    <col min="24" max="24" width="29.7109375" customWidth="1"/>
    <col min="26" max="26" width="29.42578125" customWidth="1"/>
    <col min="27" max="27" width="27.42578125" customWidth="1"/>
    <col min="28" max="28" width="11.85546875" customWidth="1"/>
    <col min="29" max="29" width="25.28515625" customWidth="1"/>
    <col min="30" max="30" width="16" customWidth="1"/>
    <col min="31" max="31" width="15.710937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171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188</v>
      </c>
      <c r="AG1" t="s">
        <v>213</v>
      </c>
      <c r="AH1" t="s">
        <v>239</v>
      </c>
      <c r="AI1" t="s">
        <v>190</v>
      </c>
    </row>
    <row r="2" spans="1:35" x14ac:dyDescent="0.25">
      <c r="A2" t="s">
        <v>30</v>
      </c>
      <c r="B2">
        <v>2013</v>
      </c>
      <c r="C2" t="s">
        <v>31</v>
      </c>
      <c r="D2" s="2">
        <v>41275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v>105.1</v>
      </c>
      <c r="S2">
        <v>106.5</v>
      </c>
      <c r="T2">
        <v>105.8</v>
      </c>
      <c r="U2">
        <v>106.4</v>
      </c>
      <c r="V2">
        <v>100.3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  <c r="AF2">
        <f>SUM(Table2[[#This Row],[Cereals and products]:[Food and beverages]])</f>
        <v>1371.6999999999998</v>
      </c>
      <c r="AG2">
        <f>SUM(Table2[[#This Row],[Housing]:[Household goods and services]],Table2[[#This Row],[Transport and communication]],Table2[[#This Row],[Education]])</f>
        <v>517.70000000000005</v>
      </c>
      <c r="AH2">
        <f>SUM(Table2[[#This Row],[Clothing]:[Clothing and footwear]])</f>
        <v>318.70000000000005</v>
      </c>
      <c r="AI2">
        <f>SUM(Table2[[#This Row],[Pan, tobacco and intoxicants]],Table2[[#This Row],[Recreation and amusement]],Table2[[#This Row],[Personal care and effects]])</f>
        <v>313.2</v>
      </c>
    </row>
    <row r="3" spans="1:35" x14ac:dyDescent="0.25">
      <c r="A3" t="s">
        <v>33</v>
      </c>
      <c r="B3">
        <v>2013</v>
      </c>
      <c r="C3" t="s">
        <v>31</v>
      </c>
      <c r="D3" s="2">
        <v>41275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v>105.2</v>
      </c>
      <c r="S3">
        <v>105.9</v>
      </c>
      <c r="T3">
        <v>105</v>
      </c>
      <c r="U3">
        <v>105.8</v>
      </c>
      <c r="V3"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  <c r="AF3">
        <f>SUM(Table2[[#This Row],[Cereals and products]:[Food and beverages]])</f>
        <v>1376.4</v>
      </c>
      <c r="AG3">
        <f>SUM(Table2[[#This Row],[Housing]:[Household goods and services]],Table2[[#This Row],[Transport and communication]],Table2[[#This Row],[Education]])</f>
        <v>517.20000000000005</v>
      </c>
      <c r="AH3">
        <f>SUM(Table2[[#This Row],[Clothing]:[Clothing and footwear]])</f>
        <v>316.7</v>
      </c>
      <c r="AI3">
        <f>SUM(Table2[[#This Row],[Pan, tobacco and intoxicants]],Table2[[#This Row],[Recreation and amusement]],Table2[[#This Row],[Personal care and effects]])</f>
        <v>312.40000000000003</v>
      </c>
    </row>
    <row r="4" spans="1:35" x14ac:dyDescent="0.25">
      <c r="A4" t="s">
        <v>35</v>
      </c>
      <c r="B4">
        <v>2013</v>
      </c>
      <c r="C4" t="s">
        <v>31</v>
      </c>
      <c r="D4" s="2">
        <v>41275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v>105.1</v>
      </c>
      <c r="S4">
        <v>106.3</v>
      </c>
      <c r="T4">
        <v>105.5</v>
      </c>
      <c r="U4">
        <v>106.2</v>
      </c>
      <c r="V4"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  <c r="AF4">
        <f>SUM(Table2[[#This Row],[Cereals and products]:[Food and beverages]])</f>
        <v>1373.3000000000002</v>
      </c>
      <c r="AG4">
        <f>SUM(Table2[[#This Row],[Housing]:[Household goods and services]],Table2[[#This Row],[Transport and communication]],Table2[[#This Row],[Education]])</f>
        <v>517.4</v>
      </c>
      <c r="AH4">
        <f>SUM(Table2[[#This Row],[Clothing]:[Clothing and footwear]])</f>
        <v>318</v>
      </c>
      <c r="AI4">
        <f>SUM(Table2[[#This Row],[Pan, tobacco and intoxicants]],Table2[[#This Row],[Recreation and amusement]],Table2[[#This Row],[Personal care and effects]])</f>
        <v>312.7</v>
      </c>
    </row>
    <row r="5" spans="1:35" x14ac:dyDescent="0.25">
      <c r="A5" t="s">
        <v>30</v>
      </c>
      <c r="B5">
        <v>2013</v>
      </c>
      <c r="C5" t="s">
        <v>36</v>
      </c>
      <c r="D5" s="2">
        <v>41306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v>105.6</v>
      </c>
      <c r="S5">
        <v>107.1</v>
      </c>
      <c r="T5">
        <v>106.3</v>
      </c>
      <c r="U5">
        <v>107</v>
      </c>
      <c r="V5">
        <v>100.4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  <c r="AF5">
        <f>SUM(Table2[[#This Row],[Cereals and products]:[Food and beverages]])</f>
        <v>1380.3999999999999</v>
      </c>
      <c r="AG5">
        <f>SUM(Table2[[#This Row],[Housing]:[Household goods and services]],Table2[[#This Row],[Transport and communication]],Table2[[#This Row],[Education]])</f>
        <v>519.80000000000007</v>
      </c>
      <c r="AH5">
        <f>SUM(Table2[[#This Row],[Clothing]:[Clothing and footwear]])</f>
        <v>320.39999999999998</v>
      </c>
      <c r="AI5">
        <f>SUM(Table2[[#This Row],[Pan, tobacco and intoxicants]],Table2[[#This Row],[Recreation and amusement]],Table2[[#This Row],[Personal care and effects]])</f>
        <v>314.2</v>
      </c>
    </row>
    <row r="6" spans="1:35" x14ac:dyDescent="0.25">
      <c r="A6" t="s">
        <v>33</v>
      </c>
      <c r="B6">
        <v>2013</v>
      </c>
      <c r="C6" t="s">
        <v>36</v>
      </c>
      <c r="D6" s="2">
        <v>41306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v>106</v>
      </c>
      <c r="S6">
        <v>106.6</v>
      </c>
      <c r="T6">
        <v>105.5</v>
      </c>
      <c r="U6">
        <v>106.4</v>
      </c>
      <c r="V6"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  <c r="AF6">
        <f>SUM(Table2[[#This Row],[Cereals and products]:[Food and beverages]])</f>
        <v>1390.6000000000001</v>
      </c>
      <c r="AG6">
        <f>SUM(Table2[[#This Row],[Housing]:[Household goods and services]],Table2[[#This Row],[Transport and communication]],Table2[[#This Row],[Education]])</f>
        <v>519.40000000000009</v>
      </c>
      <c r="AH6">
        <f>SUM(Table2[[#This Row],[Clothing]:[Clothing and footwear]])</f>
        <v>318.5</v>
      </c>
      <c r="AI6">
        <f>SUM(Table2[[#This Row],[Pan, tobacco and intoxicants]],Table2[[#This Row],[Recreation and amusement]],Table2[[#This Row],[Personal care and effects]])</f>
        <v>313.60000000000002</v>
      </c>
    </row>
    <row r="7" spans="1:35" x14ac:dyDescent="0.25">
      <c r="A7" t="s">
        <v>35</v>
      </c>
      <c r="B7">
        <v>2013</v>
      </c>
      <c r="C7" t="s">
        <v>36</v>
      </c>
      <c r="D7" s="2">
        <v>41306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v>105.7</v>
      </c>
      <c r="S7">
        <v>106.9</v>
      </c>
      <c r="T7">
        <v>106</v>
      </c>
      <c r="U7">
        <v>106.8</v>
      </c>
      <c r="V7"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  <c r="AF7">
        <f>SUM(Table2[[#This Row],[Cereals and products]:[Food and beverages]])</f>
        <v>1384.2</v>
      </c>
      <c r="AG7">
        <f>SUM(Table2[[#This Row],[Housing]:[Household goods and services]],Table2[[#This Row],[Transport and communication]],Table2[[#This Row],[Education]])</f>
        <v>519.70000000000005</v>
      </c>
      <c r="AH7">
        <f>SUM(Table2[[#This Row],[Clothing]:[Clothing and footwear]])</f>
        <v>319.7</v>
      </c>
      <c r="AI7">
        <f>SUM(Table2[[#This Row],[Pan, tobacco and intoxicants]],Table2[[#This Row],[Recreation and amusement]],Table2[[#This Row],[Personal care and effects]])</f>
        <v>313.8</v>
      </c>
    </row>
    <row r="8" spans="1:35" x14ac:dyDescent="0.25">
      <c r="A8" t="s">
        <v>30</v>
      </c>
      <c r="B8">
        <v>2013</v>
      </c>
      <c r="C8" t="s">
        <v>38</v>
      </c>
      <c r="D8" s="2">
        <v>41334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v>106.5</v>
      </c>
      <c r="S8">
        <v>107.6</v>
      </c>
      <c r="T8">
        <v>106.8</v>
      </c>
      <c r="U8">
        <v>107.5</v>
      </c>
      <c r="V8">
        <v>100.4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  <c r="AF8">
        <f>SUM(Table2[[#This Row],[Cereals and products]:[Food and beverages]])</f>
        <v>1382.2</v>
      </c>
      <c r="AG8">
        <f>SUM(Table2[[#This Row],[Housing]:[Household goods and services]],Table2[[#This Row],[Transport and communication]],Table2[[#This Row],[Education]])</f>
        <v>521</v>
      </c>
      <c r="AH8">
        <f>SUM(Table2[[#This Row],[Clothing]:[Clothing and footwear]])</f>
        <v>321.89999999999998</v>
      </c>
      <c r="AI8">
        <f>SUM(Table2[[#This Row],[Pan, tobacco and intoxicants]],Table2[[#This Row],[Recreation and amusement]],Table2[[#This Row],[Personal care and effects]])</f>
        <v>314.8</v>
      </c>
    </row>
    <row r="9" spans="1:35" x14ac:dyDescent="0.25">
      <c r="A9" t="s">
        <v>33</v>
      </c>
      <c r="B9">
        <v>2013</v>
      </c>
      <c r="C9" t="s">
        <v>38</v>
      </c>
      <c r="D9" s="2">
        <v>41334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v>106.8</v>
      </c>
      <c r="S9">
        <v>107.2</v>
      </c>
      <c r="T9">
        <v>106</v>
      </c>
      <c r="U9">
        <v>107</v>
      </c>
      <c r="V9"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  <c r="AF9">
        <f>SUM(Table2[[#This Row],[Cereals and products]:[Food and beverages]])</f>
        <v>1386.8</v>
      </c>
      <c r="AG9">
        <f>SUM(Table2[[#This Row],[Housing]:[Household goods and services]],Table2[[#This Row],[Transport and communication]],Table2[[#This Row],[Education]])</f>
        <v>521.4</v>
      </c>
      <c r="AH9">
        <f>SUM(Table2[[#This Row],[Clothing]:[Clothing and footwear]])</f>
        <v>320.2</v>
      </c>
      <c r="AI9">
        <f>SUM(Table2[[#This Row],[Pan, tobacco and intoxicants]],Table2[[#This Row],[Recreation and amusement]],Table2[[#This Row],[Personal care and effects]])</f>
        <v>314.5</v>
      </c>
    </row>
    <row r="10" spans="1:35" x14ac:dyDescent="0.25">
      <c r="A10" t="s">
        <v>35</v>
      </c>
      <c r="B10">
        <v>2013</v>
      </c>
      <c r="C10" t="s">
        <v>38</v>
      </c>
      <c r="D10" s="2">
        <v>41334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v>106.6</v>
      </c>
      <c r="S10">
        <v>107.4</v>
      </c>
      <c r="T10">
        <v>106.5</v>
      </c>
      <c r="U10">
        <v>107.3</v>
      </c>
      <c r="V10"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  <c r="AF10">
        <f>SUM(Table2[[#This Row],[Cereals and products]:[Food and beverages]])</f>
        <v>1384.0000000000002</v>
      </c>
      <c r="AG10">
        <f>SUM(Table2[[#This Row],[Housing]:[Household goods and services]],Table2[[#This Row],[Transport and communication]],Table2[[#This Row],[Education]])</f>
        <v>521.20000000000005</v>
      </c>
      <c r="AH10">
        <f>SUM(Table2[[#This Row],[Clothing]:[Clothing and footwear]])</f>
        <v>321.2</v>
      </c>
      <c r="AI10">
        <f>SUM(Table2[[#This Row],[Pan, tobacco and intoxicants]],Table2[[#This Row],[Recreation and amusement]],Table2[[#This Row],[Personal care and effects]])</f>
        <v>314.60000000000002</v>
      </c>
    </row>
    <row r="11" spans="1:35" x14ac:dyDescent="0.25">
      <c r="A11" t="s">
        <v>30</v>
      </c>
      <c r="B11">
        <v>2013</v>
      </c>
      <c r="C11" t="s">
        <v>39</v>
      </c>
      <c r="D11" s="2">
        <v>41365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v>107.1</v>
      </c>
      <c r="S11">
        <v>108.1</v>
      </c>
      <c r="T11">
        <v>107.4</v>
      </c>
      <c r="U11">
        <v>108</v>
      </c>
      <c r="V11">
        <v>100.5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  <c r="AF11">
        <f>SUM(Table2[[#This Row],[Cereals and products]:[Food and beverages]])</f>
        <v>1385.8</v>
      </c>
      <c r="AG11">
        <f>SUM(Table2[[#This Row],[Housing]:[Household goods and services]],Table2[[#This Row],[Transport and communication]],Table2[[#This Row],[Education]])</f>
        <v>522.29999999999995</v>
      </c>
      <c r="AH11">
        <f>SUM(Table2[[#This Row],[Clothing]:[Clothing and footwear]])</f>
        <v>323.5</v>
      </c>
      <c r="AI11">
        <f>SUM(Table2[[#This Row],[Pan, tobacco and intoxicants]],Table2[[#This Row],[Recreation and amusement]],Table2[[#This Row],[Personal care and effects]])</f>
        <v>314.3</v>
      </c>
    </row>
    <row r="12" spans="1:35" x14ac:dyDescent="0.25">
      <c r="A12" t="s">
        <v>33</v>
      </c>
      <c r="B12">
        <v>2013</v>
      </c>
      <c r="C12" t="s">
        <v>39</v>
      </c>
      <c r="D12" s="2">
        <v>41365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v>108.5</v>
      </c>
      <c r="S12">
        <v>107.9</v>
      </c>
      <c r="T12">
        <v>106.4</v>
      </c>
      <c r="U12">
        <v>107.7</v>
      </c>
      <c r="V12"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  <c r="AF12">
        <f>SUM(Table2[[#This Row],[Cereals and products]:[Food and beverages]])</f>
        <v>1397.6999999999998</v>
      </c>
      <c r="AG12">
        <f>SUM(Table2[[#This Row],[Housing]:[Household goods and services]],Table2[[#This Row],[Transport and communication]],Table2[[#This Row],[Education]])</f>
        <v>523.6</v>
      </c>
      <c r="AH12">
        <f>SUM(Table2[[#This Row],[Clothing]:[Clothing and footwear]])</f>
        <v>322</v>
      </c>
      <c r="AI12">
        <f>SUM(Table2[[#This Row],[Pan, tobacco and intoxicants]],Table2[[#This Row],[Recreation and amusement]],Table2[[#This Row],[Personal care and effects]])</f>
        <v>315.7</v>
      </c>
    </row>
    <row r="13" spans="1:35" x14ac:dyDescent="0.25">
      <c r="A13" t="s">
        <v>35</v>
      </c>
      <c r="B13">
        <v>2013</v>
      </c>
      <c r="C13" t="s">
        <v>39</v>
      </c>
      <c r="D13" s="2">
        <v>41365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v>107.5</v>
      </c>
      <c r="S13">
        <v>108</v>
      </c>
      <c r="T13">
        <v>107</v>
      </c>
      <c r="U13">
        <v>107.9</v>
      </c>
      <c r="V13"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  <c r="AF13">
        <f>SUM(Table2[[#This Row],[Cereals and products]:[Food and beverages]])</f>
        <v>1390.2</v>
      </c>
      <c r="AG13">
        <f>SUM(Table2[[#This Row],[Housing]:[Household goods and services]],Table2[[#This Row],[Transport and communication]],Table2[[#This Row],[Education]])</f>
        <v>523</v>
      </c>
      <c r="AH13">
        <f>SUM(Table2[[#This Row],[Clothing]:[Clothing and footwear]])</f>
        <v>322.89999999999998</v>
      </c>
      <c r="AI13">
        <f>SUM(Table2[[#This Row],[Pan, tobacco and intoxicants]],Table2[[#This Row],[Recreation and amusement]],Table2[[#This Row],[Personal care and effects]])</f>
        <v>314.60000000000002</v>
      </c>
    </row>
    <row r="14" spans="1:35" x14ac:dyDescent="0.25">
      <c r="A14" t="s">
        <v>30</v>
      </c>
      <c r="B14">
        <v>2013</v>
      </c>
      <c r="C14" t="s">
        <v>41</v>
      </c>
      <c r="D14" s="2">
        <v>41395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v>108.1</v>
      </c>
      <c r="S14">
        <v>108.8</v>
      </c>
      <c r="T14">
        <v>107.9</v>
      </c>
      <c r="U14">
        <v>108.6</v>
      </c>
      <c r="V14">
        <v>100.5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  <c r="AF14">
        <f>SUM(Table2[[#This Row],[Cereals and products]:[Food and beverages]])</f>
        <v>1394</v>
      </c>
      <c r="AG14">
        <f>SUM(Table2[[#This Row],[Housing]:[Household goods and services]],Table2[[#This Row],[Transport and communication]],Table2[[#This Row],[Education]])</f>
        <v>524.4</v>
      </c>
      <c r="AH14">
        <f>SUM(Table2[[#This Row],[Clothing]:[Clothing and footwear]])</f>
        <v>325.29999999999995</v>
      </c>
      <c r="AI14">
        <f>SUM(Table2[[#This Row],[Pan, tobacco and intoxicants]],Table2[[#This Row],[Recreation and amusement]],Table2[[#This Row],[Personal care and effects]])</f>
        <v>315.2</v>
      </c>
    </row>
    <row r="15" spans="1:35" x14ac:dyDescent="0.25">
      <c r="A15" t="s">
        <v>33</v>
      </c>
      <c r="B15">
        <v>2013</v>
      </c>
      <c r="C15" t="s">
        <v>41</v>
      </c>
      <c r="D15" s="2">
        <v>41395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v>109.8</v>
      </c>
      <c r="S15">
        <v>108.5</v>
      </c>
      <c r="T15">
        <v>106.7</v>
      </c>
      <c r="U15">
        <v>108.3</v>
      </c>
      <c r="V15"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  <c r="AF15">
        <f>SUM(Table2[[#This Row],[Cereals and products]:[Food and beverages]])</f>
        <v>1417.1999999999998</v>
      </c>
      <c r="AG15">
        <f>SUM(Table2[[#This Row],[Housing]:[Household goods and services]],Table2[[#This Row],[Transport and communication]],Table2[[#This Row],[Education]])</f>
        <v>524.4</v>
      </c>
      <c r="AH15">
        <f>SUM(Table2[[#This Row],[Clothing]:[Clothing and footwear]])</f>
        <v>323.5</v>
      </c>
      <c r="AI15">
        <f>SUM(Table2[[#This Row],[Pan, tobacco and intoxicants]],Table2[[#This Row],[Recreation and amusement]],Table2[[#This Row],[Personal care and effects]])</f>
        <v>317</v>
      </c>
    </row>
    <row r="16" spans="1:35" x14ac:dyDescent="0.25">
      <c r="A16" t="s">
        <v>35</v>
      </c>
      <c r="B16">
        <v>2013</v>
      </c>
      <c r="C16" t="s">
        <v>41</v>
      </c>
      <c r="D16" s="2">
        <v>41395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v>108.6</v>
      </c>
      <c r="S16">
        <v>108.7</v>
      </c>
      <c r="T16">
        <v>107.4</v>
      </c>
      <c r="U16">
        <v>108.5</v>
      </c>
      <c r="V16"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  <c r="AF16">
        <f>SUM(Table2[[#This Row],[Cereals and products]:[Food and beverages]])</f>
        <v>1402.1999999999998</v>
      </c>
      <c r="AG16">
        <f>SUM(Table2[[#This Row],[Housing]:[Household goods and services]],Table2[[#This Row],[Transport and communication]],Table2[[#This Row],[Education]])</f>
        <v>524.4</v>
      </c>
      <c r="AH16">
        <f>SUM(Table2[[#This Row],[Clothing]:[Clothing and footwear]])</f>
        <v>324.60000000000002</v>
      </c>
      <c r="AI16">
        <f>SUM(Table2[[#This Row],[Pan, tobacco and intoxicants]],Table2[[#This Row],[Recreation and amusement]],Table2[[#This Row],[Personal care and effects]])</f>
        <v>315.7</v>
      </c>
    </row>
    <row r="17" spans="1:35" x14ac:dyDescent="0.25">
      <c r="A17" t="s">
        <v>30</v>
      </c>
      <c r="B17">
        <v>2013</v>
      </c>
      <c r="C17" t="s">
        <v>42</v>
      </c>
      <c r="D17" s="2">
        <v>41426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v>109</v>
      </c>
      <c r="S17">
        <v>109.7</v>
      </c>
      <c r="T17">
        <v>108.8</v>
      </c>
      <c r="U17">
        <v>109.5</v>
      </c>
      <c r="V17">
        <v>106.6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  <c r="AF17">
        <f>SUM(Table2[[#This Row],[Cereals and products]:[Food and beverages]])</f>
        <v>1420</v>
      </c>
      <c r="AG17">
        <f>SUM(Table2[[#This Row],[Housing]:[Household goods and services]],Table2[[#This Row],[Transport and communication]],Table2[[#This Row],[Education]])</f>
        <v>534.1</v>
      </c>
      <c r="AH17">
        <f>SUM(Table2[[#This Row],[Clothing]:[Clothing and footwear]])</f>
        <v>328</v>
      </c>
      <c r="AI17">
        <f>SUM(Table2[[#This Row],[Pan, tobacco and intoxicants]],Table2[[#This Row],[Recreation and amusement]],Table2[[#This Row],[Personal care and effects]])</f>
        <v>317.10000000000002</v>
      </c>
    </row>
    <row r="18" spans="1:35" x14ac:dyDescent="0.25">
      <c r="A18" t="s">
        <v>33</v>
      </c>
      <c r="B18">
        <v>2013</v>
      </c>
      <c r="C18" t="s">
        <v>42</v>
      </c>
      <c r="D18" s="2">
        <v>41426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v>110.9</v>
      </c>
      <c r="S18">
        <v>109.2</v>
      </c>
      <c r="T18">
        <v>107.2</v>
      </c>
      <c r="U18">
        <v>108.9</v>
      </c>
      <c r="V18"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  <c r="AF18">
        <f>SUM(Table2[[#This Row],[Cereals and products]:[Food and beverages]])</f>
        <v>1464.6000000000001</v>
      </c>
      <c r="AG18">
        <f>SUM(Table2[[#This Row],[Housing]:[Household goods and services]],Table2[[#This Row],[Transport and communication]],Table2[[#This Row],[Education]])</f>
        <v>535.6</v>
      </c>
      <c r="AH18">
        <f>SUM(Table2[[#This Row],[Clothing]:[Clothing and footwear]])</f>
        <v>325.3</v>
      </c>
      <c r="AI18">
        <f>SUM(Table2[[#This Row],[Pan, tobacco and intoxicants]],Table2[[#This Row],[Recreation and amusement]],Table2[[#This Row],[Personal care and effects]])</f>
        <v>319.40000000000003</v>
      </c>
    </row>
    <row r="19" spans="1:35" x14ac:dyDescent="0.25">
      <c r="A19" t="s">
        <v>35</v>
      </c>
      <c r="B19">
        <v>2013</v>
      </c>
      <c r="C19" t="s">
        <v>42</v>
      </c>
      <c r="D19" s="2">
        <v>41426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v>109.5</v>
      </c>
      <c r="S19">
        <v>109.5</v>
      </c>
      <c r="T19">
        <v>108.1</v>
      </c>
      <c r="U19">
        <v>109.3</v>
      </c>
      <c r="V19"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  <c r="AF19">
        <f>SUM(Table2[[#This Row],[Cereals and products]:[Food and beverages]])</f>
        <v>1436</v>
      </c>
      <c r="AG19">
        <f>SUM(Table2[[#This Row],[Housing]:[Household goods and services]],Table2[[#This Row],[Transport and communication]],Table2[[#This Row],[Education]])</f>
        <v>535</v>
      </c>
      <c r="AH19">
        <f>SUM(Table2[[#This Row],[Clothing]:[Clothing and footwear]])</f>
        <v>326.89999999999998</v>
      </c>
      <c r="AI19">
        <f>SUM(Table2[[#This Row],[Pan, tobacco and intoxicants]],Table2[[#This Row],[Recreation and amusement]],Table2[[#This Row],[Personal care and effects]])</f>
        <v>317.7</v>
      </c>
    </row>
    <row r="20" spans="1:35" x14ac:dyDescent="0.25">
      <c r="A20" t="s">
        <v>30</v>
      </c>
      <c r="B20">
        <v>2013</v>
      </c>
      <c r="C20" t="s">
        <v>44</v>
      </c>
      <c r="D20" s="2">
        <v>41456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v>109.8</v>
      </c>
      <c r="S20">
        <v>110.5</v>
      </c>
      <c r="T20">
        <v>109.5</v>
      </c>
      <c r="U20">
        <v>110.3</v>
      </c>
      <c r="V20">
        <v>107.7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  <c r="AF20">
        <f>SUM(Table2[[#This Row],[Cereals and products]:[Food and beverages]])</f>
        <v>1445.8999999999996</v>
      </c>
      <c r="AG20">
        <f>SUM(Table2[[#This Row],[Housing]:[Household goods and services]],Table2[[#This Row],[Transport and communication]],Table2[[#This Row],[Education]])</f>
        <v>540.1</v>
      </c>
      <c r="AH20">
        <f>SUM(Table2[[#This Row],[Clothing]:[Clothing and footwear]])</f>
        <v>330.3</v>
      </c>
      <c r="AI20">
        <f>SUM(Table2[[#This Row],[Pan, tobacco and intoxicants]],Table2[[#This Row],[Recreation and amusement]],Table2[[#This Row],[Personal care and effects]])</f>
        <v>318.7</v>
      </c>
    </row>
    <row r="21" spans="1:35" x14ac:dyDescent="0.25">
      <c r="A21" t="s">
        <v>33</v>
      </c>
      <c r="B21">
        <v>2013</v>
      </c>
      <c r="C21" t="s">
        <v>44</v>
      </c>
      <c r="D21" s="2">
        <v>41456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v>111.7</v>
      </c>
      <c r="S21">
        <v>109.8</v>
      </c>
      <c r="T21">
        <v>107.8</v>
      </c>
      <c r="U21">
        <v>109.5</v>
      </c>
      <c r="V21"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  <c r="AF21">
        <f>SUM(Table2[[#This Row],[Cereals and products]:[Food and beverages]])</f>
        <v>1489.4</v>
      </c>
      <c r="AG21">
        <f>SUM(Table2[[#This Row],[Housing]:[Household goods and services]],Table2[[#This Row],[Transport and communication]],Table2[[#This Row],[Education]])</f>
        <v>541.79999999999995</v>
      </c>
      <c r="AH21">
        <f>SUM(Table2[[#This Row],[Clothing]:[Clothing and footwear]])</f>
        <v>327.10000000000002</v>
      </c>
      <c r="AI21">
        <f>SUM(Table2[[#This Row],[Pan, tobacco and intoxicants]],Table2[[#This Row],[Recreation and amusement]],Table2[[#This Row],[Personal care and effects]])</f>
        <v>320.8</v>
      </c>
    </row>
    <row r="22" spans="1:35" x14ac:dyDescent="0.25">
      <c r="A22" t="s">
        <v>35</v>
      </c>
      <c r="B22">
        <v>2013</v>
      </c>
      <c r="C22" t="s">
        <v>44</v>
      </c>
      <c r="D22" s="2">
        <v>41456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v>110.3</v>
      </c>
      <c r="S22">
        <v>110.2</v>
      </c>
      <c r="T22">
        <v>108.8</v>
      </c>
      <c r="U22">
        <v>110</v>
      </c>
      <c r="V22"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  <c r="AF22">
        <f>SUM(Table2[[#This Row],[Cereals and products]:[Food and beverages]])</f>
        <v>1461.3999999999999</v>
      </c>
      <c r="AG22">
        <f>SUM(Table2[[#This Row],[Housing]:[Household goods and services]],Table2[[#This Row],[Transport and communication]],Table2[[#This Row],[Education]])</f>
        <v>541.30000000000007</v>
      </c>
      <c r="AH22">
        <f>SUM(Table2[[#This Row],[Clothing]:[Clothing and footwear]])</f>
        <v>329</v>
      </c>
      <c r="AI22">
        <f>SUM(Table2[[#This Row],[Pan, tobacco and intoxicants]],Table2[[#This Row],[Recreation and amusement]],Table2[[#This Row],[Personal care and effects]])</f>
        <v>319.2</v>
      </c>
    </row>
    <row r="23" spans="1:35" x14ac:dyDescent="0.25">
      <c r="A23" t="s">
        <v>30</v>
      </c>
      <c r="B23">
        <v>2013</v>
      </c>
      <c r="C23" t="s">
        <v>46</v>
      </c>
      <c r="D23" s="2">
        <v>41487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v>110.7</v>
      </c>
      <c r="S23">
        <v>111.3</v>
      </c>
      <c r="T23">
        <v>110.2</v>
      </c>
      <c r="U23">
        <v>111.1</v>
      </c>
      <c r="V23">
        <v>108.9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  <c r="AF23">
        <f>SUM(Table2[[#This Row],[Cereals and products]:[Food and beverages]])</f>
        <v>1462.5</v>
      </c>
      <c r="AG23">
        <f>SUM(Table2[[#This Row],[Housing]:[Household goods and services]],Table2[[#This Row],[Transport and communication]],Table2[[#This Row],[Education]])</f>
        <v>544</v>
      </c>
      <c r="AH23">
        <f>SUM(Table2[[#This Row],[Clothing]:[Clothing and footwear]])</f>
        <v>332.6</v>
      </c>
      <c r="AI23">
        <f>SUM(Table2[[#This Row],[Pan, tobacco and intoxicants]],Table2[[#This Row],[Recreation and amusement]],Table2[[#This Row],[Personal care and effects]])</f>
        <v>322.5</v>
      </c>
    </row>
    <row r="24" spans="1:35" x14ac:dyDescent="0.25">
      <c r="A24" t="s">
        <v>33</v>
      </c>
      <c r="B24">
        <v>2013</v>
      </c>
      <c r="C24" t="s">
        <v>46</v>
      </c>
      <c r="D24" s="2">
        <v>41487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v>112.4</v>
      </c>
      <c r="S24">
        <v>110.6</v>
      </c>
      <c r="T24">
        <v>108.3</v>
      </c>
      <c r="U24">
        <v>110.2</v>
      </c>
      <c r="V24"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  <c r="AF24">
        <f>SUM(Table2[[#This Row],[Cereals and products]:[Food and beverages]])</f>
        <v>1506.1000000000001</v>
      </c>
      <c r="AG24">
        <f>SUM(Table2[[#This Row],[Housing]:[Household goods and services]],Table2[[#This Row],[Transport and communication]],Table2[[#This Row],[Education]])</f>
        <v>545.79999999999995</v>
      </c>
      <c r="AH24">
        <f>SUM(Table2[[#This Row],[Clothing]:[Clothing and footwear]])</f>
        <v>329.09999999999997</v>
      </c>
      <c r="AI24">
        <f>SUM(Table2[[#This Row],[Pan, tobacco and intoxicants]],Table2[[#This Row],[Recreation and amusement]],Table2[[#This Row],[Personal care and effects]])</f>
        <v>324.89999999999998</v>
      </c>
    </row>
    <row r="25" spans="1:35" x14ac:dyDescent="0.25">
      <c r="A25" t="s">
        <v>35</v>
      </c>
      <c r="B25">
        <v>2013</v>
      </c>
      <c r="C25" t="s">
        <v>46</v>
      </c>
      <c r="D25" s="2">
        <v>41487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v>111.2</v>
      </c>
      <c r="S25">
        <v>111</v>
      </c>
      <c r="T25">
        <v>109.4</v>
      </c>
      <c r="U25">
        <v>110.7</v>
      </c>
      <c r="V25"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  <c r="AF25">
        <f>SUM(Table2[[#This Row],[Cereals and products]:[Food and beverages]])</f>
        <v>1477.4</v>
      </c>
      <c r="AG25">
        <f>SUM(Table2[[#This Row],[Housing]:[Household goods and services]],Table2[[#This Row],[Transport and communication]],Table2[[#This Row],[Education]])</f>
        <v>545.20000000000005</v>
      </c>
      <c r="AH25">
        <f>SUM(Table2[[#This Row],[Clothing]:[Clothing and footwear]])</f>
        <v>331.1</v>
      </c>
      <c r="AI25">
        <f>SUM(Table2[[#This Row],[Pan, tobacco and intoxicants]],Table2[[#This Row],[Recreation and amusement]],Table2[[#This Row],[Personal care and effects]])</f>
        <v>323.20000000000005</v>
      </c>
    </row>
    <row r="26" spans="1:35" x14ac:dyDescent="0.25">
      <c r="A26" t="s">
        <v>30</v>
      </c>
      <c r="B26">
        <v>2013</v>
      </c>
      <c r="C26" t="s">
        <v>48</v>
      </c>
      <c r="D26" s="2">
        <v>41518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v>111.7</v>
      </c>
      <c r="S26">
        <v>112.7</v>
      </c>
      <c r="T26">
        <v>111.4</v>
      </c>
      <c r="U26">
        <v>112.5</v>
      </c>
      <c r="V26">
        <v>109.7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  <c r="AF26">
        <f>SUM(Table2[[#This Row],[Cereals and products]:[Food and beverages]])</f>
        <v>1488.5000000000002</v>
      </c>
      <c r="AG26">
        <f>SUM(Table2[[#This Row],[Housing]:[Household goods and services]],Table2[[#This Row],[Transport and communication]],Table2[[#This Row],[Education]])</f>
        <v>549.5</v>
      </c>
      <c r="AH26">
        <f>SUM(Table2[[#This Row],[Clothing]:[Clothing and footwear]])</f>
        <v>336.6</v>
      </c>
      <c r="AI26">
        <f>SUM(Table2[[#This Row],[Pan, tobacco and intoxicants]],Table2[[#This Row],[Recreation and amusement]],Table2[[#This Row],[Personal care and effects]])</f>
        <v>326.10000000000002</v>
      </c>
    </row>
    <row r="27" spans="1:35" x14ac:dyDescent="0.25">
      <c r="A27" t="s">
        <v>33</v>
      </c>
      <c r="B27">
        <v>2013</v>
      </c>
      <c r="C27" t="s">
        <v>48</v>
      </c>
      <c r="D27" s="2">
        <v>41518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v>112.9</v>
      </c>
      <c r="S27">
        <v>111.4</v>
      </c>
      <c r="T27">
        <v>109</v>
      </c>
      <c r="U27">
        <v>111.1</v>
      </c>
      <c r="V27"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  <c r="AF27">
        <f>SUM(Table2[[#This Row],[Cereals and products]:[Food and beverages]])</f>
        <v>1500.4</v>
      </c>
      <c r="AG27">
        <f>SUM(Table2[[#This Row],[Housing]:[Household goods and services]],Table2[[#This Row],[Transport and communication]],Table2[[#This Row],[Education]])</f>
        <v>550.4</v>
      </c>
      <c r="AH27">
        <f>SUM(Table2[[#This Row],[Clothing]:[Clothing and footwear]])</f>
        <v>331.5</v>
      </c>
      <c r="AI27">
        <f>SUM(Table2[[#This Row],[Pan, tobacco and intoxicants]],Table2[[#This Row],[Recreation and amusement]],Table2[[#This Row],[Personal care and effects]])</f>
        <v>327.20000000000005</v>
      </c>
    </row>
    <row r="28" spans="1:35" x14ac:dyDescent="0.25">
      <c r="A28" t="s">
        <v>35</v>
      </c>
      <c r="B28">
        <v>2013</v>
      </c>
      <c r="C28" t="s">
        <v>48</v>
      </c>
      <c r="D28" s="2">
        <v>41518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v>112</v>
      </c>
      <c r="S28">
        <v>112.2</v>
      </c>
      <c r="T28">
        <v>110.4</v>
      </c>
      <c r="U28">
        <v>111.9</v>
      </c>
      <c r="V28"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  <c r="AF28">
        <f>SUM(Table2[[#This Row],[Cereals and products]:[Food and beverages]])</f>
        <v>1491.6999999999998</v>
      </c>
      <c r="AG28">
        <f>SUM(Table2[[#This Row],[Housing]:[Household goods and services]],Table2[[#This Row],[Transport and communication]],Table2[[#This Row],[Education]])</f>
        <v>550.29999999999995</v>
      </c>
      <c r="AH28">
        <f>SUM(Table2[[#This Row],[Clothing]:[Clothing and footwear]])</f>
        <v>334.5</v>
      </c>
      <c r="AI28">
        <f>SUM(Table2[[#This Row],[Pan, tobacco and intoxicants]],Table2[[#This Row],[Recreation and amusement]],Table2[[#This Row],[Personal care and effects]])</f>
        <v>326.3</v>
      </c>
    </row>
    <row r="29" spans="1:35" x14ac:dyDescent="0.25">
      <c r="A29" t="s">
        <v>30</v>
      </c>
      <c r="B29">
        <v>2013</v>
      </c>
      <c r="C29" t="s">
        <v>50</v>
      </c>
      <c r="D29" s="2">
        <v>41548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v>112.2</v>
      </c>
      <c r="S29">
        <v>113.6</v>
      </c>
      <c r="T29">
        <v>112.3</v>
      </c>
      <c r="U29">
        <v>113.4</v>
      </c>
      <c r="V29">
        <v>110.5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  <c r="AF29">
        <f>SUM(Table2[[#This Row],[Cereals and products]:[Food and beverages]])</f>
        <v>1508</v>
      </c>
      <c r="AG29">
        <f>SUM(Table2[[#This Row],[Housing]:[Household goods and services]],Table2[[#This Row],[Transport and communication]],Table2[[#This Row],[Education]])</f>
        <v>552</v>
      </c>
      <c r="AH29">
        <f>SUM(Table2[[#This Row],[Clothing]:[Clothing and footwear]])</f>
        <v>339.29999999999995</v>
      </c>
      <c r="AI29">
        <f>SUM(Table2[[#This Row],[Pan, tobacco and intoxicants]],Table2[[#This Row],[Recreation and amusement]],Table2[[#This Row],[Personal care and effects]])</f>
        <v>328</v>
      </c>
    </row>
    <row r="30" spans="1:35" x14ac:dyDescent="0.25">
      <c r="A30" t="s">
        <v>33</v>
      </c>
      <c r="B30">
        <v>2013</v>
      </c>
      <c r="C30" t="s">
        <v>50</v>
      </c>
      <c r="D30" s="2">
        <v>41548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v>113.5</v>
      </c>
      <c r="S30">
        <v>112.5</v>
      </c>
      <c r="T30">
        <v>109.7</v>
      </c>
      <c r="U30">
        <v>112</v>
      </c>
      <c r="V30"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  <c r="AF30">
        <f>SUM(Table2[[#This Row],[Cereals and products]:[Food and beverages]])</f>
        <v>1517.1999999999998</v>
      </c>
      <c r="AG30">
        <f>SUM(Table2[[#This Row],[Housing]:[Household goods and services]],Table2[[#This Row],[Transport and communication]],Table2[[#This Row],[Education]])</f>
        <v>551.4</v>
      </c>
      <c r="AH30">
        <f>SUM(Table2[[#This Row],[Clothing]:[Clothing and footwear]])</f>
        <v>334.2</v>
      </c>
      <c r="AI30">
        <f>SUM(Table2[[#This Row],[Pan, tobacco and intoxicants]],Table2[[#This Row],[Recreation and amusement]],Table2[[#This Row],[Personal care and effects]])</f>
        <v>328.8</v>
      </c>
    </row>
    <row r="31" spans="1:35" x14ac:dyDescent="0.25">
      <c r="A31" t="s">
        <v>35</v>
      </c>
      <c r="B31">
        <v>2013</v>
      </c>
      <c r="C31" t="s">
        <v>50</v>
      </c>
      <c r="D31" s="2">
        <v>41548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v>112.5</v>
      </c>
      <c r="S31">
        <v>113.2</v>
      </c>
      <c r="T31">
        <v>111.2</v>
      </c>
      <c r="U31">
        <v>112.8</v>
      </c>
      <c r="V31"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  <c r="AF31">
        <f>SUM(Table2[[#This Row],[Cereals and products]:[Food and beverages]])</f>
        <v>1510.2000000000003</v>
      </c>
      <c r="AG31">
        <f>SUM(Table2[[#This Row],[Housing]:[Household goods and services]],Table2[[#This Row],[Transport and communication]],Table2[[#This Row],[Education]])</f>
        <v>552</v>
      </c>
      <c r="AH31">
        <f>SUM(Table2[[#This Row],[Clothing]:[Clothing and footwear]])</f>
        <v>337.2</v>
      </c>
      <c r="AI31">
        <f>SUM(Table2[[#This Row],[Pan, tobacco and intoxicants]],Table2[[#This Row],[Recreation and amusement]],Table2[[#This Row],[Personal care and effects]])</f>
        <v>328</v>
      </c>
    </row>
    <row r="32" spans="1:35" x14ac:dyDescent="0.25">
      <c r="A32" t="s">
        <v>30</v>
      </c>
      <c r="B32">
        <v>2013</v>
      </c>
      <c r="C32" t="s">
        <v>53</v>
      </c>
      <c r="D32" s="2">
        <v>41579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v>112.8</v>
      </c>
      <c r="S32">
        <v>114.6</v>
      </c>
      <c r="T32">
        <v>113.1</v>
      </c>
      <c r="U32">
        <v>114.4</v>
      </c>
      <c r="V32">
        <v>111.1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  <c r="AF32">
        <f>SUM(Table2[[#This Row],[Cereals and products]:[Food and beverages]])</f>
        <v>1536.8</v>
      </c>
      <c r="AG32">
        <f>SUM(Table2[[#This Row],[Housing]:[Household goods and services]],Table2[[#This Row],[Transport and communication]],Table2[[#This Row],[Education]])</f>
        <v>555.6</v>
      </c>
      <c r="AH32">
        <f>SUM(Table2[[#This Row],[Clothing]:[Clothing and footwear]])</f>
        <v>342.1</v>
      </c>
      <c r="AI32">
        <f>SUM(Table2[[#This Row],[Pan, tobacco and intoxicants]],Table2[[#This Row],[Recreation and amusement]],Table2[[#This Row],[Personal care and effects]])</f>
        <v>329.7</v>
      </c>
    </row>
    <row r="33" spans="1:35" x14ac:dyDescent="0.25">
      <c r="A33" t="s">
        <v>33</v>
      </c>
      <c r="B33">
        <v>2013</v>
      </c>
      <c r="C33" t="s">
        <v>53</v>
      </c>
      <c r="D33" s="2">
        <v>41579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v>114.1</v>
      </c>
      <c r="S33">
        <v>113.5</v>
      </c>
      <c r="T33">
        <v>110.3</v>
      </c>
      <c r="U33">
        <v>113</v>
      </c>
      <c r="V33"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  <c r="AF33">
        <f>SUM(Table2[[#This Row],[Cereals and products]:[Food and beverages]])</f>
        <v>1544.6</v>
      </c>
      <c r="AG33">
        <f>SUM(Table2[[#This Row],[Housing]:[Household goods and services]],Table2[[#This Row],[Transport and communication]],Table2[[#This Row],[Education]])</f>
        <v>552.79999999999995</v>
      </c>
      <c r="AH33">
        <f>SUM(Table2[[#This Row],[Clothing]:[Clothing and footwear]])</f>
        <v>336.8</v>
      </c>
      <c r="AI33">
        <f>SUM(Table2[[#This Row],[Pan, tobacco and intoxicants]],Table2[[#This Row],[Recreation and amusement]],Table2[[#This Row],[Personal care and effects]])</f>
        <v>330.5</v>
      </c>
    </row>
    <row r="34" spans="1:35" x14ac:dyDescent="0.25">
      <c r="A34" t="s">
        <v>35</v>
      </c>
      <c r="B34">
        <v>2013</v>
      </c>
      <c r="C34" t="s">
        <v>53</v>
      </c>
      <c r="D34" s="2">
        <v>41579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v>113.1</v>
      </c>
      <c r="S34">
        <v>114.2</v>
      </c>
      <c r="T34">
        <v>111.9</v>
      </c>
      <c r="U34">
        <v>113.8</v>
      </c>
      <c r="V34"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  <c r="AF34">
        <f>SUM(Table2[[#This Row],[Cereals and products]:[Food and beverages]])</f>
        <v>1538.8</v>
      </c>
      <c r="AG34">
        <f>SUM(Table2[[#This Row],[Housing]:[Household goods and services]],Table2[[#This Row],[Transport and communication]],Table2[[#This Row],[Education]])</f>
        <v>554.5</v>
      </c>
      <c r="AH34">
        <f>SUM(Table2[[#This Row],[Clothing]:[Clothing and footwear]])</f>
        <v>339.90000000000003</v>
      </c>
      <c r="AI34">
        <f>SUM(Table2[[#This Row],[Pan, tobacco and intoxicants]],Table2[[#This Row],[Recreation and amusement]],Table2[[#This Row],[Personal care and effects]])</f>
        <v>329.79999999999995</v>
      </c>
    </row>
    <row r="35" spans="1:35" x14ac:dyDescent="0.25">
      <c r="A35" t="s">
        <v>30</v>
      </c>
      <c r="B35">
        <v>2013</v>
      </c>
      <c r="C35" t="s">
        <v>55</v>
      </c>
      <c r="D35" s="2">
        <v>41609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v>113.6</v>
      </c>
      <c r="S35">
        <v>115.8</v>
      </c>
      <c r="T35">
        <v>114</v>
      </c>
      <c r="U35">
        <v>115.5</v>
      </c>
      <c r="V35">
        <v>110.7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  <c r="AF35">
        <f>SUM(Table2[[#This Row],[Cereals and products]:[Food and beverages]])</f>
        <v>1509</v>
      </c>
      <c r="AG35">
        <f>SUM(Table2[[#This Row],[Housing]:[Household goods and services]],Table2[[#This Row],[Transport and communication]],Table2[[#This Row],[Education]])</f>
        <v>557.1</v>
      </c>
      <c r="AH35">
        <f>SUM(Table2[[#This Row],[Clothing]:[Clothing and footwear]])</f>
        <v>345.3</v>
      </c>
      <c r="AI35">
        <f>SUM(Table2[[#This Row],[Pan, tobacco and intoxicants]],Table2[[#This Row],[Recreation and amusement]],Table2[[#This Row],[Personal care and effects]])</f>
        <v>330.9</v>
      </c>
    </row>
    <row r="36" spans="1:35" x14ac:dyDescent="0.25">
      <c r="A36" t="s">
        <v>33</v>
      </c>
      <c r="B36">
        <v>2013</v>
      </c>
      <c r="C36" t="s">
        <v>55</v>
      </c>
      <c r="D36" s="2">
        <v>41609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v>115</v>
      </c>
      <c r="S36">
        <v>114.2</v>
      </c>
      <c r="T36">
        <v>110.9</v>
      </c>
      <c r="U36">
        <v>113.7</v>
      </c>
      <c r="V36"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  <c r="AF36">
        <f>SUM(Table2[[#This Row],[Cereals and products]:[Food and beverages]])</f>
        <v>1504.4</v>
      </c>
      <c r="AG36">
        <f>SUM(Table2[[#This Row],[Housing]:[Household goods and services]],Table2[[#This Row],[Transport and communication]],Table2[[#This Row],[Education]])</f>
        <v>553.5</v>
      </c>
      <c r="AH36">
        <f>SUM(Table2[[#This Row],[Clothing]:[Clothing and footwear]])</f>
        <v>338.8</v>
      </c>
      <c r="AI36">
        <f>SUM(Table2[[#This Row],[Pan, tobacco and intoxicants]],Table2[[#This Row],[Recreation and amusement]],Table2[[#This Row],[Personal care and effects]])</f>
        <v>331.6</v>
      </c>
    </row>
    <row r="37" spans="1:35" x14ac:dyDescent="0.25">
      <c r="A37" t="s">
        <v>35</v>
      </c>
      <c r="B37">
        <v>2013</v>
      </c>
      <c r="C37" t="s">
        <v>55</v>
      </c>
      <c r="D37" s="2">
        <v>41609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v>114</v>
      </c>
      <c r="S37">
        <v>115.2</v>
      </c>
      <c r="T37">
        <v>112.7</v>
      </c>
      <c r="U37">
        <v>114.8</v>
      </c>
      <c r="V37"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  <c r="AF37">
        <f>SUM(Table2[[#This Row],[Cereals and products]:[Food and beverages]])</f>
        <v>1507.3000000000002</v>
      </c>
      <c r="AG37">
        <f>SUM(Table2[[#This Row],[Housing]:[Household goods and services]],Table2[[#This Row],[Transport and communication]],Table2[[#This Row],[Education]])</f>
        <v>555.6</v>
      </c>
      <c r="AH37">
        <f>SUM(Table2[[#This Row],[Clothing]:[Clothing and footwear]])</f>
        <v>342.7</v>
      </c>
      <c r="AI37">
        <f>SUM(Table2[[#This Row],[Pan, tobacco and intoxicants]],Table2[[#This Row],[Recreation and amusement]],Table2[[#This Row],[Personal care and effects]])</f>
        <v>330.9</v>
      </c>
    </row>
    <row r="38" spans="1:35" x14ac:dyDescent="0.25">
      <c r="A38" t="s">
        <v>30</v>
      </c>
      <c r="B38">
        <v>2014</v>
      </c>
      <c r="C38" t="s">
        <v>31</v>
      </c>
      <c r="D38" s="2">
        <v>41640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v>114</v>
      </c>
      <c r="S38">
        <v>116.5</v>
      </c>
      <c r="T38">
        <v>114.5</v>
      </c>
      <c r="U38">
        <v>116.2</v>
      </c>
      <c r="V38">
        <v>111.6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  <c r="AF38">
        <f>SUM(Table2[[#This Row],[Cereals and products]:[Food and beverages]])</f>
        <v>1486.6000000000001</v>
      </c>
      <c r="AG38">
        <f>SUM(Table2[[#This Row],[Housing]:[Household goods and services]],Table2[[#This Row],[Transport and communication]],Table2[[#This Row],[Education]])</f>
        <v>559.5</v>
      </c>
      <c r="AH38">
        <f>SUM(Table2[[#This Row],[Clothing]:[Clothing and footwear]])</f>
        <v>347.2</v>
      </c>
      <c r="AI38">
        <f>SUM(Table2[[#This Row],[Pan, tobacco and intoxicants]],Table2[[#This Row],[Recreation and amusement]],Table2[[#This Row],[Personal care and effects]])</f>
        <v>331.9</v>
      </c>
    </row>
    <row r="39" spans="1:35" x14ac:dyDescent="0.25">
      <c r="A39" t="s">
        <v>33</v>
      </c>
      <c r="B39">
        <v>2014</v>
      </c>
      <c r="C39" t="s">
        <v>31</v>
      </c>
      <c r="D39" s="2">
        <v>41640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v>115.7</v>
      </c>
      <c r="S39">
        <v>114.8</v>
      </c>
      <c r="T39">
        <v>111.3</v>
      </c>
      <c r="U39">
        <v>114.3</v>
      </c>
      <c r="V39"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  <c r="AF39">
        <f>SUM(Table2[[#This Row],[Cereals and products]:[Food and beverages]])</f>
        <v>1484.3</v>
      </c>
      <c r="AG39">
        <f>SUM(Table2[[#This Row],[Housing]:[Household goods and services]],Table2[[#This Row],[Transport and communication]],Table2[[#This Row],[Education]])</f>
        <v>556.79999999999995</v>
      </c>
      <c r="AH39">
        <f>SUM(Table2[[#This Row],[Clothing]:[Clothing and footwear]])</f>
        <v>340.4</v>
      </c>
      <c r="AI39">
        <f>SUM(Table2[[#This Row],[Pan, tobacco and intoxicants]],Table2[[#This Row],[Recreation and amusement]],Table2[[#This Row],[Personal care and effects]])</f>
        <v>333.5</v>
      </c>
    </row>
    <row r="40" spans="1:35" x14ac:dyDescent="0.25">
      <c r="A40" t="s">
        <v>35</v>
      </c>
      <c r="B40">
        <v>2014</v>
      </c>
      <c r="C40" t="s">
        <v>31</v>
      </c>
      <c r="D40" s="2">
        <v>41640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v>114.5</v>
      </c>
      <c r="S40">
        <v>115.8</v>
      </c>
      <c r="T40">
        <v>113.2</v>
      </c>
      <c r="U40">
        <v>115.4</v>
      </c>
      <c r="V40"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  <c r="AF40">
        <f>SUM(Table2[[#This Row],[Cereals and products]:[Food and beverages]])</f>
        <v>1485.7999999999997</v>
      </c>
      <c r="AG40">
        <f>SUM(Table2[[#This Row],[Housing]:[Household goods and services]],Table2[[#This Row],[Transport and communication]],Table2[[#This Row],[Education]])</f>
        <v>558.4</v>
      </c>
      <c r="AH40">
        <f>SUM(Table2[[#This Row],[Clothing]:[Clothing and footwear]])</f>
        <v>344.4</v>
      </c>
      <c r="AI40">
        <f>SUM(Table2[[#This Row],[Pan, tobacco and intoxicants]],Table2[[#This Row],[Recreation and amusement]],Table2[[#This Row],[Personal care and effects]])</f>
        <v>332.4</v>
      </c>
    </row>
    <row r="41" spans="1:35" x14ac:dyDescent="0.25">
      <c r="A41" t="s">
        <v>30</v>
      </c>
      <c r="B41">
        <v>2014</v>
      </c>
      <c r="C41" t="s">
        <v>36</v>
      </c>
      <c r="D41" s="2">
        <v>41671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v>114.2</v>
      </c>
      <c r="S41">
        <v>117.1</v>
      </c>
      <c r="T41">
        <v>114.5</v>
      </c>
      <c r="U41">
        <v>116.7</v>
      </c>
      <c r="V41">
        <v>112.5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  <c r="AF41">
        <f>SUM(Table2[[#This Row],[Cereals and products]:[Food and beverages]])</f>
        <v>1482.2</v>
      </c>
      <c r="AG41">
        <f>SUM(Table2[[#This Row],[Housing]:[Household goods and services]],Table2[[#This Row],[Transport and communication]],Table2[[#This Row],[Education]])</f>
        <v>561.40000000000009</v>
      </c>
      <c r="AH41">
        <f>SUM(Table2[[#This Row],[Clothing]:[Clothing and footwear]])</f>
        <v>348.3</v>
      </c>
      <c r="AI41">
        <f>SUM(Table2[[#This Row],[Pan, tobacco and intoxicants]],Table2[[#This Row],[Recreation and amusement]],Table2[[#This Row],[Personal care and effects]])</f>
        <v>332.8</v>
      </c>
    </row>
    <row r="42" spans="1:35" x14ac:dyDescent="0.25">
      <c r="A42" t="s">
        <v>33</v>
      </c>
      <c r="B42">
        <v>2014</v>
      </c>
      <c r="C42" t="s">
        <v>36</v>
      </c>
      <c r="D42" s="2">
        <v>41671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v>116.2</v>
      </c>
      <c r="S42">
        <v>115.3</v>
      </c>
      <c r="T42">
        <v>111.7</v>
      </c>
      <c r="U42">
        <v>114.7</v>
      </c>
      <c r="V42"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  <c r="AF42">
        <f>SUM(Table2[[#This Row],[Cereals and products]:[Food and beverages]])</f>
        <v>1476</v>
      </c>
      <c r="AG42">
        <f>SUM(Table2[[#This Row],[Housing]:[Household goods and services]],Table2[[#This Row],[Transport and communication]],Table2[[#This Row],[Education]])</f>
        <v>559.1</v>
      </c>
      <c r="AH42">
        <f>SUM(Table2[[#This Row],[Clothing]:[Clothing and footwear]])</f>
        <v>341.7</v>
      </c>
      <c r="AI42">
        <f>SUM(Table2[[#This Row],[Pan, tobacco and intoxicants]],Table2[[#This Row],[Recreation and amusement]],Table2[[#This Row],[Personal care and effects]])</f>
        <v>335.2</v>
      </c>
    </row>
    <row r="43" spans="1:35" x14ac:dyDescent="0.25">
      <c r="A43" t="s">
        <v>35</v>
      </c>
      <c r="B43">
        <v>2014</v>
      </c>
      <c r="C43" t="s">
        <v>36</v>
      </c>
      <c r="D43" s="2">
        <v>41671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v>114.7</v>
      </c>
      <c r="S43">
        <v>116.4</v>
      </c>
      <c r="T43">
        <v>113.3</v>
      </c>
      <c r="U43">
        <v>115.9</v>
      </c>
      <c r="V43"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  <c r="AF43">
        <f>SUM(Table2[[#This Row],[Cereals and products]:[Food and beverages]])</f>
        <v>1480.1</v>
      </c>
      <c r="AG43">
        <f>SUM(Table2[[#This Row],[Housing]:[Household goods and services]],Table2[[#This Row],[Transport and communication]],Table2[[#This Row],[Education]])</f>
        <v>560.59999999999991</v>
      </c>
      <c r="AH43">
        <f>SUM(Table2[[#This Row],[Clothing]:[Clothing and footwear]])</f>
        <v>345.6</v>
      </c>
      <c r="AI43">
        <f>SUM(Table2[[#This Row],[Pan, tobacco and intoxicants]],Table2[[#This Row],[Recreation and amusement]],Table2[[#This Row],[Personal care and effects]])</f>
        <v>333.5</v>
      </c>
    </row>
    <row r="44" spans="1:35" x14ac:dyDescent="0.25">
      <c r="A44" t="s">
        <v>30</v>
      </c>
      <c r="B44">
        <v>2014</v>
      </c>
      <c r="C44" t="s">
        <v>38</v>
      </c>
      <c r="D44" s="2">
        <v>41699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v>114.6</v>
      </c>
      <c r="S44">
        <v>117.5</v>
      </c>
      <c r="T44">
        <v>114.9</v>
      </c>
      <c r="U44">
        <v>117.2</v>
      </c>
      <c r="V44">
        <v>113.2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  <c r="AF44">
        <f>SUM(Table2[[#This Row],[Cereals and products]:[Food and beverages]])</f>
        <v>1491.4</v>
      </c>
      <c r="AG44">
        <f>SUM(Table2[[#This Row],[Housing]:[Household goods and services]],Table2[[#This Row],[Transport and communication]],Table2[[#This Row],[Education]])</f>
        <v>563.6</v>
      </c>
      <c r="AH44">
        <f>SUM(Table2[[#This Row],[Clothing]:[Clothing and footwear]])</f>
        <v>349.6</v>
      </c>
      <c r="AI44">
        <f>SUM(Table2[[#This Row],[Pan, tobacco and intoxicants]],Table2[[#This Row],[Recreation and amusement]],Table2[[#This Row],[Personal care and effects]])</f>
        <v>333.70000000000005</v>
      </c>
    </row>
    <row r="45" spans="1:35" x14ac:dyDescent="0.25">
      <c r="A45" t="s">
        <v>33</v>
      </c>
      <c r="B45">
        <v>2014</v>
      </c>
      <c r="C45" t="s">
        <v>38</v>
      </c>
      <c r="D45" s="2">
        <v>41699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v>116.7</v>
      </c>
      <c r="S45">
        <v>115.8</v>
      </c>
      <c r="T45">
        <v>112.1</v>
      </c>
      <c r="U45">
        <v>115.2</v>
      </c>
      <c r="V45"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  <c r="AF45">
        <f>SUM(Table2[[#This Row],[Cereals and products]:[Food and beverages]])</f>
        <v>1483</v>
      </c>
      <c r="AG45">
        <f>SUM(Table2[[#This Row],[Housing]:[Household goods and services]],Table2[[#This Row],[Transport and communication]],Table2[[#This Row],[Education]])</f>
        <v>560.5</v>
      </c>
      <c r="AH45">
        <f>SUM(Table2[[#This Row],[Clothing]:[Clothing and footwear]])</f>
        <v>343.09999999999997</v>
      </c>
      <c r="AI45">
        <f>SUM(Table2[[#This Row],[Pan, tobacco and intoxicants]],Table2[[#This Row],[Recreation and amusement]],Table2[[#This Row],[Personal care and effects]])</f>
        <v>336.8</v>
      </c>
    </row>
    <row r="46" spans="1:35" x14ac:dyDescent="0.25">
      <c r="A46" t="s">
        <v>35</v>
      </c>
      <c r="B46">
        <v>2014</v>
      </c>
      <c r="C46" t="s">
        <v>38</v>
      </c>
      <c r="D46" s="2">
        <v>41699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v>115.2</v>
      </c>
      <c r="S46">
        <v>116.8</v>
      </c>
      <c r="T46">
        <v>113.7</v>
      </c>
      <c r="U46">
        <v>116.4</v>
      </c>
      <c r="V46"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  <c r="AF46">
        <f>SUM(Table2[[#This Row],[Cereals and products]:[Food and beverages]])</f>
        <v>1488.2999999999997</v>
      </c>
      <c r="AG46">
        <f>SUM(Table2[[#This Row],[Housing]:[Household goods and services]],Table2[[#This Row],[Transport and communication]],Table2[[#This Row],[Education]])</f>
        <v>562.29999999999995</v>
      </c>
      <c r="AH46">
        <f>SUM(Table2[[#This Row],[Clothing]:[Clothing and footwear]])</f>
        <v>346.9</v>
      </c>
      <c r="AI46">
        <f>SUM(Table2[[#This Row],[Pan, tobacco and intoxicants]],Table2[[#This Row],[Recreation and amusement]],Table2[[#This Row],[Personal care and effects]])</f>
        <v>334.8</v>
      </c>
    </row>
    <row r="47" spans="1:35" x14ac:dyDescent="0.25">
      <c r="A47" t="s">
        <v>30</v>
      </c>
      <c r="B47">
        <v>2014</v>
      </c>
      <c r="C47" t="s">
        <v>39</v>
      </c>
      <c r="D47" s="2">
        <v>41730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v>115.4</v>
      </c>
      <c r="S47">
        <v>118.1</v>
      </c>
      <c r="T47">
        <v>116.1</v>
      </c>
      <c r="U47">
        <v>117.8</v>
      </c>
      <c r="V47">
        <v>113.9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  <c r="AF47">
        <f>SUM(Table2[[#This Row],[Cereals and products]:[Food and beverages]])</f>
        <v>1504.1000000000001</v>
      </c>
      <c r="AG47">
        <f>SUM(Table2[[#This Row],[Housing]:[Household goods and services]],Table2[[#This Row],[Transport and communication]],Table2[[#This Row],[Education]])</f>
        <v>565.20000000000005</v>
      </c>
      <c r="AH47">
        <f>SUM(Table2[[#This Row],[Clothing]:[Clothing and footwear]])</f>
        <v>352</v>
      </c>
      <c r="AI47">
        <f>SUM(Table2[[#This Row],[Pan, tobacco and intoxicants]],Table2[[#This Row],[Recreation and amusement]],Table2[[#This Row],[Personal care and effects]])</f>
        <v>334.8</v>
      </c>
    </row>
    <row r="48" spans="1:35" x14ac:dyDescent="0.25">
      <c r="A48" t="s">
        <v>33</v>
      </c>
      <c r="B48">
        <v>2014</v>
      </c>
      <c r="C48" t="s">
        <v>39</v>
      </c>
      <c r="D48" s="2">
        <v>41730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v>117.6</v>
      </c>
      <c r="S48">
        <v>116.3</v>
      </c>
      <c r="T48">
        <v>112.5</v>
      </c>
      <c r="U48">
        <v>115.7</v>
      </c>
      <c r="V48"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  <c r="AF48">
        <f>SUM(Table2[[#This Row],[Cereals and products]:[Food and beverages]])</f>
        <v>1504.0000000000002</v>
      </c>
      <c r="AG48">
        <f>SUM(Table2[[#This Row],[Housing]:[Household goods and services]],Table2[[#This Row],[Transport and communication]],Table2[[#This Row],[Education]])</f>
        <v>561.90000000000009</v>
      </c>
      <c r="AH48">
        <f>SUM(Table2[[#This Row],[Clothing]:[Clothing and footwear]])</f>
        <v>344.5</v>
      </c>
      <c r="AI48">
        <f>SUM(Table2[[#This Row],[Pan, tobacco and intoxicants]],Table2[[#This Row],[Recreation and amusement]],Table2[[#This Row],[Personal care and effects]])</f>
        <v>337.9</v>
      </c>
    </row>
    <row r="49" spans="1:35" x14ac:dyDescent="0.25">
      <c r="A49" t="s">
        <v>35</v>
      </c>
      <c r="B49">
        <v>2014</v>
      </c>
      <c r="C49" t="s">
        <v>39</v>
      </c>
      <c r="D49" s="2">
        <v>41730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v>116</v>
      </c>
      <c r="S49">
        <v>117.4</v>
      </c>
      <c r="T49">
        <v>114.6</v>
      </c>
      <c r="U49">
        <v>117</v>
      </c>
      <c r="V49"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  <c r="AF49">
        <f>SUM(Table2[[#This Row],[Cereals and products]:[Food and beverages]])</f>
        <v>1504.1</v>
      </c>
      <c r="AG49">
        <f>SUM(Table2[[#This Row],[Housing]:[Household goods and services]],Table2[[#This Row],[Transport and communication]],Table2[[#This Row],[Education]])</f>
        <v>563.9</v>
      </c>
      <c r="AH49">
        <f>SUM(Table2[[#This Row],[Clothing]:[Clothing and footwear]])</f>
        <v>349</v>
      </c>
      <c r="AI49">
        <f>SUM(Table2[[#This Row],[Pan, tobacco and intoxicants]],Table2[[#This Row],[Recreation and amusement]],Table2[[#This Row],[Personal care and effects]])</f>
        <v>335.9</v>
      </c>
    </row>
    <row r="50" spans="1:35" x14ac:dyDescent="0.25">
      <c r="A50" t="s">
        <v>30</v>
      </c>
      <c r="B50">
        <v>2014</v>
      </c>
      <c r="C50" t="s">
        <v>41</v>
      </c>
      <c r="D50" s="2">
        <v>41760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v>116.3</v>
      </c>
      <c r="S50">
        <v>118.7</v>
      </c>
      <c r="T50">
        <v>116.8</v>
      </c>
      <c r="U50">
        <v>118.5</v>
      </c>
      <c r="V50">
        <v>114.3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  <c r="AF50">
        <f>SUM(Table2[[#This Row],[Cereals and products]:[Food and beverages]])</f>
        <v>1513.8999999999999</v>
      </c>
      <c r="AG50">
        <f>SUM(Table2[[#This Row],[Housing]:[Household goods and services]],Table2[[#This Row],[Transport and communication]],Table2[[#This Row],[Education]])</f>
        <v>566.29999999999995</v>
      </c>
      <c r="AH50">
        <f>SUM(Table2[[#This Row],[Clothing]:[Clothing and footwear]])</f>
        <v>354</v>
      </c>
      <c r="AI50">
        <f>SUM(Table2[[#This Row],[Pan, tobacco and intoxicants]],Table2[[#This Row],[Recreation and amusement]],Table2[[#This Row],[Personal care and effects]])</f>
        <v>336.1</v>
      </c>
    </row>
    <row r="51" spans="1:35" x14ac:dyDescent="0.25">
      <c r="A51" t="s">
        <v>33</v>
      </c>
      <c r="B51">
        <v>2014</v>
      </c>
      <c r="C51" t="s">
        <v>41</v>
      </c>
      <c r="D51" s="2">
        <v>41760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v>118.3</v>
      </c>
      <c r="S51">
        <v>116.8</v>
      </c>
      <c r="T51">
        <v>112.9</v>
      </c>
      <c r="U51">
        <v>116.2</v>
      </c>
      <c r="V51"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  <c r="AF51">
        <f>SUM(Table2[[#This Row],[Cereals and products]:[Food and beverages]])</f>
        <v>1525.3000000000002</v>
      </c>
      <c r="AG51">
        <f>SUM(Table2[[#This Row],[Housing]:[Household goods and services]],Table2[[#This Row],[Transport and communication]],Table2[[#This Row],[Education]])</f>
        <v>563.70000000000005</v>
      </c>
      <c r="AH51">
        <f>SUM(Table2[[#This Row],[Clothing]:[Clothing and footwear]])</f>
        <v>345.9</v>
      </c>
      <c r="AI51">
        <f>SUM(Table2[[#This Row],[Pan, tobacco and intoxicants]],Table2[[#This Row],[Recreation and amusement]],Table2[[#This Row],[Personal care and effects]])</f>
        <v>339.1</v>
      </c>
    </row>
    <row r="52" spans="1:35" x14ac:dyDescent="0.25">
      <c r="A52" t="s">
        <v>35</v>
      </c>
      <c r="B52">
        <v>2014</v>
      </c>
      <c r="C52" t="s">
        <v>41</v>
      </c>
      <c r="D52" s="2">
        <v>41760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v>116.8</v>
      </c>
      <c r="S52">
        <v>118</v>
      </c>
      <c r="T52">
        <v>115.2</v>
      </c>
      <c r="U52">
        <v>117.6</v>
      </c>
      <c r="V52"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  <c r="AF52">
        <f>SUM(Table2[[#This Row],[Cereals and products]:[Food and beverages]])</f>
        <v>1518.5000000000005</v>
      </c>
      <c r="AG52">
        <f>SUM(Table2[[#This Row],[Housing]:[Household goods and services]],Table2[[#This Row],[Transport and communication]],Table2[[#This Row],[Education]])</f>
        <v>565.20000000000005</v>
      </c>
      <c r="AH52">
        <f>SUM(Table2[[#This Row],[Clothing]:[Clothing and footwear]])</f>
        <v>350.79999999999995</v>
      </c>
      <c r="AI52">
        <f>SUM(Table2[[#This Row],[Pan, tobacco and intoxicants]],Table2[[#This Row],[Recreation and amusement]],Table2[[#This Row],[Personal care and effects]])</f>
        <v>337.1</v>
      </c>
    </row>
    <row r="53" spans="1:35" x14ac:dyDescent="0.25">
      <c r="A53" t="s">
        <v>30</v>
      </c>
      <c r="B53">
        <v>2014</v>
      </c>
      <c r="C53" t="s">
        <v>42</v>
      </c>
      <c r="D53" s="2">
        <v>41791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v>117.3</v>
      </c>
      <c r="S53">
        <v>119.7</v>
      </c>
      <c r="T53">
        <v>117.3</v>
      </c>
      <c r="U53">
        <v>119.3</v>
      </c>
      <c r="V53">
        <v>113.9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  <c r="AF53">
        <f>SUM(Table2[[#This Row],[Cereals and products]:[Food and beverages]])</f>
        <v>1525.6999999999998</v>
      </c>
      <c r="AG53">
        <f>SUM(Table2[[#This Row],[Housing]:[Household goods and services]],Table2[[#This Row],[Transport and communication]],Table2[[#This Row],[Education]])</f>
        <v>569.70000000000005</v>
      </c>
      <c r="AH53">
        <f>SUM(Table2[[#This Row],[Clothing]:[Clothing and footwear]])</f>
        <v>356.3</v>
      </c>
      <c r="AI53">
        <f>SUM(Table2[[#This Row],[Pan, tobacco and intoxicants]],Table2[[#This Row],[Recreation and amusement]],Table2[[#This Row],[Personal care and effects]])</f>
        <v>336.7</v>
      </c>
    </row>
    <row r="54" spans="1:35" x14ac:dyDescent="0.25">
      <c r="A54" t="s">
        <v>33</v>
      </c>
      <c r="B54">
        <v>2014</v>
      </c>
      <c r="C54" t="s">
        <v>42</v>
      </c>
      <c r="D54" s="2">
        <v>41791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v>119</v>
      </c>
      <c r="S54">
        <v>117.4</v>
      </c>
      <c r="T54">
        <v>113.2</v>
      </c>
      <c r="U54">
        <v>116.7</v>
      </c>
      <c r="V54"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  <c r="AF54">
        <f>SUM(Table2[[#This Row],[Cereals and products]:[Food and beverages]])</f>
        <v>1547</v>
      </c>
      <c r="AG54">
        <f>SUM(Table2[[#This Row],[Housing]:[Household goods and services]],Table2[[#This Row],[Transport and communication]],Table2[[#This Row],[Education]])</f>
        <v>566</v>
      </c>
      <c r="AH54">
        <f>SUM(Table2[[#This Row],[Clothing]:[Clothing and footwear]])</f>
        <v>347.3</v>
      </c>
      <c r="AI54">
        <f>SUM(Table2[[#This Row],[Pan, tobacco and intoxicants]],Table2[[#This Row],[Recreation and amusement]],Table2[[#This Row],[Personal care and effects]])</f>
        <v>339.5</v>
      </c>
    </row>
    <row r="55" spans="1:35" x14ac:dyDescent="0.25">
      <c r="A55" t="s">
        <v>35</v>
      </c>
      <c r="B55">
        <v>2014</v>
      </c>
      <c r="C55" t="s">
        <v>42</v>
      </c>
      <c r="D55" s="2">
        <v>41791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v>117.8</v>
      </c>
      <c r="S55">
        <v>118.8</v>
      </c>
      <c r="T55">
        <v>115.6</v>
      </c>
      <c r="U55">
        <v>118.3</v>
      </c>
      <c r="V55"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  <c r="AF55">
        <f>SUM(Table2[[#This Row],[Cereals and products]:[Food and beverages]])</f>
        <v>1533.7000000000003</v>
      </c>
      <c r="AG55">
        <f>SUM(Table2[[#This Row],[Housing]:[Household goods and services]],Table2[[#This Row],[Transport and communication]],Table2[[#This Row],[Education]])</f>
        <v>568.30000000000007</v>
      </c>
      <c r="AH55">
        <f>SUM(Table2[[#This Row],[Clothing]:[Clothing and footwear]])</f>
        <v>352.7</v>
      </c>
      <c r="AI55">
        <f>SUM(Table2[[#This Row],[Pan, tobacco and intoxicants]],Table2[[#This Row],[Recreation and amusement]],Table2[[#This Row],[Personal care and effects]])</f>
        <v>337.7</v>
      </c>
    </row>
    <row r="56" spans="1:35" x14ac:dyDescent="0.25">
      <c r="A56" t="s">
        <v>30</v>
      </c>
      <c r="B56">
        <v>2014</v>
      </c>
      <c r="C56" t="s">
        <v>44</v>
      </c>
      <c r="D56" s="2">
        <v>41821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v>118</v>
      </c>
      <c r="S56">
        <v>120.7</v>
      </c>
      <c r="T56">
        <v>118.3</v>
      </c>
      <c r="U56">
        <v>120.3</v>
      </c>
      <c r="V56">
        <v>114.8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  <c r="AF56">
        <f>SUM(Table2[[#This Row],[Cereals and products]:[Food and beverages]])</f>
        <v>1563.2</v>
      </c>
      <c r="AG56">
        <f>SUM(Table2[[#This Row],[Housing]:[Household goods and services]],Table2[[#This Row],[Transport and communication]],Table2[[#This Row],[Education]])</f>
        <v>574.20000000000005</v>
      </c>
      <c r="AH56">
        <f>SUM(Table2[[#This Row],[Clothing]:[Clothing and footwear]])</f>
        <v>359.3</v>
      </c>
      <c r="AI56">
        <f>SUM(Table2[[#This Row],[Pan, tobacco and intoxicants]],Table2[[#This Row],[Recreation and amusement]],Table2[[#This Row],[Personal care and effects]])</f>
        <v>338.6</v>
      </c>
    </row>
    <row r="57" spans="1:35" x14ac:dyDescent="0.25">
      <c r="A57" t="s">
        <v>33</v>
      </c>
      <c r="B57">
        <v>2014</v>
      </c>
      <c r="C57" t="s">
        <v>44</v>
      </c>
      <c r="D57" s="2">
        <v>41821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v>121</v>
      </c>
      <c r="S57">
        <v>118</v>
      </c>
      <c r="T57">
        <v>113.6</v>
      </c>
      <c r="U57">
        <v>117.4</v>
      </c>
      <c r="V57"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  <c r="AF57">
        <f>SUM(Table2[[#This Row],[Cereals and products]:[Food and beverages]])</f>
        <v>1599.5</v>
      </c>
      <c r="AG57">
        <f>SUM(Table2[[#This Row],[Housing]:[Household goods and services]],Table2[[#This Row],[Transport and communication]],Table2[[#This Row],[Education]])</f>
        <v>572.09999999999991</v>
      </c>
      <c r="AH57">
        <f>SUM(Table2[[#This Row],[Clothing]:[Clothing and footwear]])</f>
        <v>349</v>
      </c>
      <c r="AI57">
        <f>SUM(Table2[[#This Row],[Pan, tobacco and intoxicants]],Table2[[#This Row],[Recreation and amusement]],Table2[[#This Row],[Personal care and effects]])</f>
        <v>343.1</v>
      </c>
    </row>
    <row r="58" spans="1:35" x14ac:dyDescent="0.25">
      <c r="A58" t="s">
        <v>35</v>
      </c>
      <c r="B58">
        <v>2014</v>
      </c>
      <c r="C58" t="s">
        <v>44</v>
      </c>
      <c r="D58" s="2">
        <v>41821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v>118.8</v>
      </c>
      <c r="S58">
        <v>119.6</v>
      </c>
      <c r="T58">
        <v>116.3</v>
      </c>
      <c r="U58">
        <v>119.1</v>
      </c>
      <c r="V58"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  <c r="AF58">
        <f>SUM(Table2[[#This Row],[Cereals and products]:[Food and beverages]])</f>
        <v>1576.3</v>
      </c>
      <c r="AG58">
        <f>SUM(Table2[[#This Row],[Housing]:[Household goods and services]],Table2[[#This Row],[Transport and communication]],Table2[[#This Row],[Education]])</f>
        <v>573.79999999999995</v>
      </c>
      <c r="AH58">
        <f>SUM(Table2[[#This Row],[Clothing]:[Clothing and footwear]])</f>
        <v>355</v>
      </c>
      <c r="AI58">
        <f>SUM(Table2[[#This Row],[Pan, tobacco and intoxicants]],Table2[[#This Row],[Recreation and amusement]],Table2[[#This Row],[Personal care and effects]])</f>
        <v>340.09999999999997</v>
      </c>
    </row>
    <row r="59" spans="1:35" x14ac:dyDescent="0.25">
      <c r="A59" t="s">
        <v>30</v>
      </c>
      <c r="B59">
        <v>2014</v>
      </c>
      <c r="C59" t="s">
        <v>46</v>
      </c>
      <c r="D59" s="2">
        <v>41852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v>118.8</v>
      </c>
      <c r="S59">
        <v>120.9</v>
      </c>
      <c r="T59">
        <v>118.8</v>
      </c>
      <c r="U59">
        <v>120.7</v>
      </c>
      <c r="V59">
        <v>115.5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  <c r="AF59">
        <f>SUM(Table2[[#This Row],[Cereals and products]:[Food and beverages]])</f>
        <v>1582.2999999999997</v>
      </c>
      <c r="AG59">
        <f>SUM(Table2[[#This Row],[Housing]:[Household goods and services]],Table2[[#This Row],[Transport and communication]],Table2[[#This Row],[Education]])</f>
        <v>576.20000000000005</v>
      </c>
      <c r="AH59">
        <f>SUM(Table2[[#This Row],[Clothing]:[Clothing and footwear]])</f>
        <v>360.4</v>
      </c>
      <c r="AI59">
        <f>SUM(Table2[[#This Row],[Pan, tobacco and intoxicants]],Table2[[#This Row],[Recreation and amusement]],Table2[[#This Row],[Personal care and effects]])</f>
        <v>340.4</v>
      </c>
    </row>
    <row r="60" spans="1:35" x14ac:dyDescent="0.25">
      <c r="A60" t="s">
        <v>33</v>
      </c>
      <c r="B60">
        <v>2014</v>
      </c>
      <c r="C60" t="s">
        <v>46</v>
      </c>
      <c r="D60" s="2">
        <v>41852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v>123</v>
      </c>
      <c r="S60">
        <v>118.6</v>
      </c>
      <c r="T60">
        <v>114.1</v>
      </c>
      <c r="U60">
        <v>117.9</v>
      </c>
      <c r="V60"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  <c r="AF60">
        <f>SUM(Table2[[#This Row],[Cereals and products]:[Food and beverages]])</f>
        <v>1617</v>
      </c>
      <c r="AG60">
        <f>SUM(Table2[[#This Row],[Housing]:[Household goods and services]],Table2[[#This Row],[Transport and communication]],Table2[[#This Row],[Education]])</f>
        <v>574.30000000000007</v>
      </c>
      <c r="AH60">
        <f>SUM(Table2[[#This Row],[Clothing]:[Clothing and footwear]])</f>
        <v>350.6</v>
      </c>
      <c r="AI60">
        <f>SUM(Table2[[#This Row],[Pan, tobacco and intoxicants]],Table2[[#This Row],[Recreation and amusement]],Table2[[#This Row],[Personal care and effects]])</f>
        <v>346.4</v>
      </c>
    </row>
    <row r="61" spans="1:35" x14ac:dyDescent="0.25">
      <c r="A61" t="s">
        <v>35</v>
      </c>
      <c r="B61">
        <v>2014</v>
      </c>
      <c r="C61" t="s">
        <v>46</v>
      </c>
      <c r="D61" s="2">
        <v>41852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v>119.9</v>
      </c>
      <c r="S61">
        <v>120</v>
      </c>
      <c r="T61">
        <v>116.8</v>
      </c>
      <c r="U61">
        <v>119.6</v>
      </c>
      <c r="V61"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  <c r="AF61">
        <f>SUM(Table2[[#This Row],[Cereals and products]:[Food and beverages]])</f>
        <v>1594.4999999999998</v>
      </c>
      <c r="AG61">
        <f>SUM(Table2[[#This Row],[Housing]:[Household goods and services]],Table2[[#This Row],[Transport and communication]],Table2[[#This Row],[Education]])</f>
        <v>575.90000000000009</v>
      </c>
      <c r="AH61">
        <f>SUM(Table2[[#This Row],[Clothing]:[Clothing and footwear]])</f>
        <v>356.4</v>
      </c>
      <c r="AI61">
        <f>SUM(Table2[[#This Row],[Pan, tobacco and intoxicants]],Table2[[#This Row],[Recreation and amusement]],Table2[[#This Row],[Personal care and effects]])</f>
        <v>342.4</v>
      </c>
    </row>
    <row r="62" spans="1:35" x14ac:dyDescent="0.25">
      <c r="A62" t="s">
        <v>30</v>
      </c>
      <c r="B62">
        <v>2014</v>
      </c>
      <c r="C62" t="s">
        <v>48</v>
      </c>
      <c r="D62" s="2">
        <v>41883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v>119.5</v>
      </c>
      <c r="S62">
        <v>121.7</v>
      </c>
      <c r="T62">
        <v>119.2</v>
      </c>
      <c r="U62">
        <v>121.3</v>
      </c>
      <c r="V62">
        <v>116.1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  <c r="AF62">
        <f>SUM(Table2[[#This Row],[Cereals and products]:[Food and beverages]])</f>
        <v>1583.2</v>
      </c>
      <c r="AG62">
        <f>SUM(Table2[[#This Row],[Housing]:[Household goods and services]],Table2[[#This Row],[Transport and communication]],Table2[[#This Row],[Education]])</f>
        <v>578</v>
      </c>
      <c r="AH62">
        <f>SUM(Table2[[#This Row],[Clothing]:[Clothing and footwear]])</f>
        <v>362.2</v>
      </c>
      <c r="AI62">
        <f>SUM(Table2[[#This Row],[Pan, tobacco and intoxicants]],Table2[[#This Row],[Recreation and amusement]],Table2[[#This Row],[Personal care and effects]])</f>
        <v>341.2</v>
      </c>
    </row>
    <row r="63" spans="1:35" x14ac:dyDescent="0.25">
      <c r="A63" t="s">
        <v>33</v>
      </c>
      <c r="B63">
        <v>2014</v>
      </c>
      <c r="C63" t="s">
        <v>48</v>
      </c>
      <c r="D63" s="2">
        <v>41883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v>124.3</v>
      </c>
      <c r="S63">
        <v>119.2</v>
      </c>
      <c r="T63">
        <v>114.5</v>
      </c>
      <c r="U63">
        <v>118.4</v>
      </c>
      <c r="V63"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  <c r="AF63">
        <f>SUM(Table2[[#This Row],[Cereals and products]:[Food and beverages]])</f>
        <v>1593.7000000000003</v>
      </c>
      <c r="AG63">
        <f>SUM(Table2[[#This Row],[Housing]:[Household goods and services]],Table2[[#This Row],[Transport and communication]],Table2[[#This Row],[Education]])</f>
        <v>574.59999999999991</v>
      </c>
      <c r="AH63">
        <f>SUM(Table2[[#This Row],[Clothing]:[Clothing and footwear]])</f>
        <v>352.1</v>
      </c>
      <c r="AI63">
        <f>SUM(Table2[[#This Row],[Pan, tobacco and intoxicants]],Table2[[#This Row],[Recreation and amusement]],Table2[[#This Row],[Personal care and effects]])</f>
        <v>347.7</v>
      </c>
    </row>
    <row r="64" spans="1:35" x14ac:dyDescent="0.25">
      <c r="A64" t="s">
        <v>35</v>
      </c>
      <c r="B64">
        <v>2014</v>
      </c>
      <c r="C64" t="s">
        <v>48</v>
      </c>
      <c r="D64" s="2">
        <v>41883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v>120.8</v>
      </c>
      <c r="S64">
        <v>120.7</v>
      </c>
      <c r="T64">
        <v>117.2</v>
      </c>
      <c r="U64">
        <v>120.1</v>
      </c>
      <c r="V64"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  <c r="AF64">
        <f>SUM(Table2[[#This Row],[Cereals and products]:[Food and beverages]])</f>
        <v>1586.0999999999997</v>
      </c>
      <c r="AG64">
        <f>SUM(Table2[[#This Row],[Housing]:[Household goods and services]],Table2[[#This Row],[Transport and communication]],Table2[[#This Row],[Education]])</f>
        <v>577.1</v>
      </c>
      <c r="AH64">
        <f>SUM(Table2[[#This Row],[Clothing]:[Clothing and footwear]])</f>
        <v>358</v>
      </c>
      <c r="AI64">
        <f>SUM(Table2[[#This Row],[Pan, tobacco and intoxicants]],Table2[[#This Row],[Recreation and amusement]],Table2[[#This Row],[Personal care and effects]])</f>
        <v>343.4</v>
      </c>
    </row>
    <row r="65" spans="1:35" x14ac:dyDescent="0.25">
      <c r="A65" t="s">
        <v>30</v>
      </c>
      <c r="B65">
        <v>2014</v>
      </c>
      <c r="C65" t="s">
        <v>50</v>
      </c>
      <c r="D65" s="2">
        <v>41913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v>120</v>
      </c>
      <c r="S65">
        <v>122.7</v>
      </c>
      <c r="T65">
        <v>120.3</v>
      </c>
      <c r="U65">
        <v>122.3</v>
      </c>
      <c r="V65">
        <v>116.7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  <c r="AF65">
        <f>SUM(Table2[[#This Row],[Cereals and products]:[Food and beverages]])</f>
        <v>1581.1999999999998</v>
      </c>
      <c r="AG65">
        <f>SUM(Table2[[#This Row],[Housing]:[Household goods and services]],Table2[[#This Row],[Transport and communication]],Table2[[#This Row],[Education]])</f>
        <v>580.1</v>
      </c>
      <c r="AH65">
        <f>SUM(Table2[[#This Row],[Clothing]:[Clothing and footwear]])</f>
        <v>365.3</v>
      </c>
      <c r="AI65">
        <f>SUM(Table2[[#This Row],[Pan, tobacco and intoxicants]],Table2[[#This Row],[Recreation and amusement]],Table2[[#This Row],[Personal care and effects]])</f>
        <v>342.3</v>
      </c>
    </row>
    <row r="66" spans="1:35" x14ac:dyDescent="0.25">
      <c r="A66" t="s">
        <v>33</v>
      </c>
      <c r="B66">
        <v>2014</v>
      </c>
      <c r="C66" t="s">
        <v>50</v>
      </c>
      <c r="D66" s="2">
        <v>41913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v>124.3</v>
      </c>
      <c r="S66">
        <v>119.6</v>
      </c>
      <c r="T66">
        <v>114.9</v>
      </c>
      <c r="U66">
        <v>118.9</v>
      </c>
      <c r="V66"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  <c r="AF66">
        <f>SUM(Table2[[#This Row],[Cereals and products]:[Food and beverages]])</f>
        <v>1587.5</v>
      </c>
      <c r="AG66">
        <f>SUM(Table2[[#This Row],[Housing]:[Household goods and services]],Table2[[#This Row],[Transport and communication]],Table2[[#This Row],[Education]])</f>
        <v>575.70000000000005</v>
      </c>
      <c r="AH66">
        <f>SUM(Table2[[#This Row],[Clothing]:[Clothing and footwear]])</f>
        <v>353.4</v>
      </c>
      <c r="AI66">
        <f>SUM(Table2[[#This Row],[Pan, tobacco and intoxicants]],Table2[[#This Row],[Recreation and amusement]],Table2[[#This Row],[Personal care and effects]])</f>
        <v>348</v>
      </c>
    </row>
    <row r="67" spans="1:35" x14ac:dyDescent="0.25">
      <c r="A67" t="s">
        <v>35</v>
      </c>
      <c r="B67">
        <v>2014</v>
      </c>
      <c r="C67" t="s">
        <v>50</v>
      </c>
      <c r="D67" s="2">
        <v>41913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v>121.1</v>
      </c>
      <c r="S67">
        <v>121.5</v>
      </c>
      <c r="T67">
        <v>118.1</v>
      </c>
      <c r="U67">
        <v>121</v>
      </c>
      <c r="V67"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  <c r="AF67">
        <f>SUM(Table2[[#This Row],[Cereals and products]:[Food and beverages]])</f>
        <v>1582.7</v>
      </c>
      <c r="AG67">
        <f>SUM(Table2[[#This Row],[Housing]:[Household goods and services]],Table2[[#This Row],[Transport and communication]],Table2[[#This Row],[Education]])</f>
        <v>578.70000000000005</v>
      </c>
      <c r="AH67">
        <f>SUM(Table2[[#This Row],[Clothing]:[Clothing and footwear]])</f>
        <v>360.6</v>
      </c>
      <c r="AI67">
        <f>SUM(Table2[[#This Row],[Pan, tobacco and intoxicants]],Table2[[#This Row],[Recreation and amusement]],Table2[[#This Row],[Personal care and effects]])</f>
        <v>344</v>
      </c>
    </row>
    <row r="68" spans="1:35" x14ac:dyDescent="0.25">
      <c r="A68" t="s">
        <v>30</v>
      </c>
      <c r="B68">
        <v>2014</v>
      </c>
      <c r="C68" t="s">
        <v>53</v>
      </c>
      <c r="D68" s="2">
        <v>41944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v>120.8</v>
      </c>
      <c r="S68">
        <v>123.3</v>
      </c>
      <c r="T68">
        <v>120.5</v>
      </c>
      <c r="U68">
        <v>122.9</v>
      </c>
      <c r="V68">
        <v>117.1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  <c r="AF68">
        <f>SUM(Table2[[#This Row],[Cereals and products]:[Food and beverages]])</f>
        <v>1582</v>
      </c>
      <c r="AG68">
        <f>SUM(Table2[[#This Row],[Housing]:[Household goods and services]],Table2[[#This Row],[Transport and communication]],Table2[[#This Row],[Education]])</f>
        <v>581.70000000000005</v>
      </c>
      <c r="AH68">
        <f>SUM(Table2[[#This Row],[Clothing]:[Clothing and footwear]])</f>
        <v>366.70000000000005</v>
      </c>
      <c r="AI68">
        <f>SUM(Table2[[#This Row],[Pan, tobacco and intoxicants]],Table2[[#This Row],[Recreation and amusement]],Table2[[#This Row],[Personal care and effects]])</f>
        <v>342.9</v>
      </c>
    </row>
    <row r="69" spans="1:35" x14ac:dyDescent="0.25">
      <c r="A69" t="s">
        <v>33</v>
      </c>
      <c r="B69">
        <v>2014</v>
      </c>
      <c r="C69" t="s">
        <v>53</v>
      </c>
      <c r="D69" s="2">
        <v>41944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v>125.8</v>
      </c>
      <c r="S69">
        <v>120.3</v>
      </c>
      <c r="T69">
        <v>115.4</v>
      </c>
      <c r="U69">
        <v>119.5</v>
      </c>
      <c r="V69"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  <c r="AF69">
        <f>SUM(Table2[[#This Row],[Cereals and products]:[Food and beverages]])</f>
        <v>1587.8</v>
      </c>
      <c r="AG69">
        <f>SUM(Table2[[#This Row],[Housing]:[Household goods and services]],Table2[[#This Row],[Transport and communication]],Table2[[#This Row],[Education]])</f>
        <v>576.1</v>
      </c>
      <c r="AH69">
        <f>SUM(Table2[[#This Row],[Clothing]:[Clothing and footwear]])</f>
        <v>355.2</v>
      </c>
      <c r="AI69">
        <f>SUM(Table2[[#This Row],[Pan, tobacco and intoxicants]],Table2[[#This Row],[Recreation and amusement]],Table2[[#This Row],[Personal care and effects]])</f>
        <v>349.4</v>
      </c>
    </row>
    <row r="70" spans="1:35" x14ac:dyDescent="0.25">
      <c r="A70" t="s">
        <v>35</v>
      </c>
      <c r="B70">
        <v>2014</v>
      </c>
      <c r="C70" t="s">
        <v>53</v>
      </c>
      <c r="D70" s="2">
        <v>41944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v>122.1</v>
      </c>
      <c r="S70">
        <v>122.1</v>
      </c>
      <c r="T70">
        <v>118.4</v>
      </c>
      <c r="U70">
        <v>121.6</v>
      </c>
      <c r="V70"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  <c r="AF70">
        <f>SUM(Table2[[#This Row],[Cereals and products]:[Food and beverages]])</f>
        <v>1583.2</v>
      </c>
      <c r="AG70">
        <f>SUM(Table2[[#This Row],[Housing]:[Household goods and services]],Table2[[#This Row],[Transport and communication]],Table2[[#This Row],[Education]])</f>
        <v>579.70000000000005</v>
      </c>
      <c r="AH70">
        <f>SUM(Table2[[#This Row],[Clothing]:[Clothing and footwear]])</f>
        <v>362.1</v>
      </c>
      <c r="AI70">
        <f>SUM(Table2[[#This Row],[Pan, tobacco and intoxicants]],Table2[[#This Row],[Recreation and amusement]],Table2[[#This Row],[Personal care and effects]])</f>
        <v>344.9</v>
      </c>
    </row>
    <row r="71" spans="1:35" x14ac:dyDescent="0.25">
      <c r="A71" t="s">
        <v>30</v>
      </c>
      <c r="B71">
        <v>2014</v>
      </c>
      <c r="C71" t="s">
        <v>55</v>
      </c>
      <c r="D71" s="2">
        <v>41974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v>121.7</v>
      </c>
      <c r="S71">
        <v>123.8</v>
      </c>
      <c r="T71">
        <v>120.6</v>
      </c>
      <c r="U71">
        <v>123.3</v>
      </c>
      <c r="V71">
        <v>116.5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  <c r="AF71">
        <f>SUM(Table2[[#This Row],[Cereals and products]:[Food and beverages]])</f>
        <v>1569.6</v>
      </c>
      <c r="AG71">
        <f>SUM(Table2[[#This Row],[Housing]:[Household goods and services]],Table2[[#This Row],[Transport and communication]],Table2[[#This Row],[Education]])</f>
        <v>581.30000000000007</v>
      </c>
      <c r="AH71">
        <f>SUM(Table2[[#This Row],[Clothing]:[Clothing and footwear]])</f>
        <v>367.7</v>
      </c>
      <c r="AI71">
        <f>SUM(Table2[[#This Row],[Pan, tobacco and intoxicants]],Table2[[#This Row],[Recreation and amusement]],Table2[[#This Row],[Personal care and effects]])</f>
        <v>344.4</v>
      </c>
    </row>
    <row r="72" spans="1:35" x14ac:dyDescent="0.25">
      <c r="A72" t="s">
        <v>33</v>
      </c>
      <c r="B72">
        <v>2014</v>
      </c>
      <c r="C72" t="s">
        <v>55</v>
      </c>
      <c r="D72" s="2">
        <v>41974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v>126.4</v>
      </c>
      <c r="S72">
        <v>120.7</v>
      </c>
      <c r="T72">
        <v>115.8</v>
      </c>
      <c r="U72">
        <v>120</v>
      </c>
      <c r="V72"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  <c r="AF72">
        <f>SUM(Table2[[#This Row],[Cereals and products]:[Food and beverages]])</f>
        <v>1577.1999999999998</v>
      </c>
      <c r="AG72">
        <f>SUM(Table2[[#This Row],[Housing]:[Household goods and services]],Table2[[#This Row],[Transport and communication]],Table2[[#This Row],[Education]])</f>
        <v>575.80000000000007</v>
      </c>
      <c r="AH72">
        <f>SUM(Table2[[#This Row],[Clothing]:[Clothing and footwear]])</f>
        <v>356.5</v>
      </c>
      <c r="AI72">
        <f>SUM(Table2[[#This Row],[Pan, tobacco and intoxicants]],Table2[[#This Row],[Recreation and amusement]],Table2[[#This Row],[Personal care and effects]])</f>
        <v>351.1</v>
      </c>
    </row>
    <row r="73" spans="1:35" x14ac:dyDescent="0.25">
      <c r="A73" t="s">
        <v>35</v>
      </c>
      <c r="B73">
        <v>2014</v>
      </c>
      <c r="C73" t="s">
        <v>55</v>
      </c>
      <c r="D73" s="2">
        <v>41974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v>123</v>
      </c>
      <c r="S73">
        <v>122.6</v>
      </c>
      <c r="T73">
        <v>118.6</v>
      </c>
      <c r="U73">
        <v>122</v>
      </c>
      <c r="V73"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  <c r="AF73">
        <f>SUM(Table2[[#This Row],[Cereals and products]:[Food and beverages]])</f>
        <v>1571.6999999999998</v>
      </c>
      <c r="AG73">
        <f>SUM(Table2[[#This Row],[Housing]:[Household goods and services]],Table2[[#This Row],[Transport and communication]],Table2[[#This Row],[Education]])</f>
        <v>579.29999999999995</v>
      </c>
      <c r="AH73">
        <f>SUM(Table2[[#This Row],[Clothing]:[Clothing and footwear]])</f>
        <v>363.2</v>
      </c>
      <c r="AI73">
        <f>SUM(Table2[[#This Row],[Pan, tobacco and intoxicants]],Table2[[#This Row],[Recreation and amusement]],Table2[[#This Row],[Personal care and effects]])</f>
        <v>346.7</v>
      </c>
    </row>
    <row r="74" spans="1:35" x14ac:dyDescent="0.25">
      <c r="A74" t="s">
        <v>30</v>
      </c>
      <c r="B74">
        <v>2015</v>
      </c>
      <c r="C74" t="s">
        <v>31</v>
      </c>
      <c r="D74" s="2">
        <v>42005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v>122.7</v>
      </c>
      <c r="S74">
        <v>124.4</v>
      </c>
      <c r="T74">
        <v>121.6</v>
      </c>
      <c r="U74">
        <v>124</v>
      </c>
      <c r="V74">
        <v>117.3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  <c r="AF74">
        <f>SUM(Table2[[#This Row],[Cereals and products]:[Food and beverages]])</f>
        <v>1568.1</v>
      </c>
      <c r="AG74">
        <f>SUM(Table2[[#This Row],[Housing]:[Household goods and services]],Table2[[#This Row],[Transport and communication]],Table2[[#This Row],[Education]])</f>
        <v>583.80000000000007</v>
      </c>
      <c r="AH74">
        <f>SUM(Table2[[#This Row],[Clothing]:[Clothing and footwear]])</f>
        <v>370</v>
      </c>
      <c r="AI74">
        <f>SUM(Table2[[#This Row],[Pan, tobacco and intoxicants]],Table2[[#This Row],[Recreation and amusement]],Table2[[#This Row],[Personal care and effects]])</f>
        <v>346.9</v>
      </c>
    </row>
    <row r="75" spans="1:35" x14ac:dyDescent="0.25">
      <c r="A75" t="s">
        <v>33</v>
      </c>
      <c r="B75">
        <v>2015</v>
      </c>
      <c r="C75" t="s">
        <v>31</v>
      </c>
      <c r="D75" s="2">
        <v>42005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v>127.4</v>
      </c>
      <c r="S75">
        <v>121</v>
      </c>
      <c r="T75">
        <v>116.1</v>
      </c>
      <c r="U75">
        <v>120.2</v>
      </c>
      <c r="V75"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  <c r="AF75">
        <f>SUM(Table2[[#This Row],[Cereals and products]:[Food and beverages]])</f>
        <v>1574.8999999999999</v>
      </c>
      <c r="AG75">
        <f>SUM(Table2[[#This Row],[Housing]:[Household goods and services]],Table2[[#This Row],[Transport and communication]],Table2[[#This Row],[Education]])</f>
        <v>576.59999999999991</v>
      </c>
      <c r="AH75">
        <f>SUM(Table2[[#This Row],[Clothing]:[Clothing and footwear]])</f>
        <v>357.3</v>
      </c>
      <c r="AI75">
        <f>SUM(Table2[[#This Row],[Pan, tobacco and intoxicants]],Table2[[#This Row],[Recreation and amusement]],Table2[[#This Row],[Personal care and effects]])</f>
        <v>353.4</v>
      </c>
    </row>
    <row r="76" spans="1:35" x14ac:dyDescent="0.25">
      <c r="A76" t="s">
        <v>35</v>
      </c>
      <c r="B76">
        <v>2015</v>
      </c>
      <c r="C76" t="s">
        <v>31</v>
      </c>
      <c r="D76" s="2">
        <v>42005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v>124</v>
      </c>
      <c r="S76">
        <v>123.1</v>
      </c>
      <c r="T76">
        <v>119.3</v>
      </c>
      <c r="U76">
        <v>122.5</v>
      </c>
      <c r="V76"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  <c r="AF76">
        <f>SUM(Table2[[#This Row],[Cereals and products]:[Food and beverages]])</f>
        <v>1569.3</v>
      </c>
      <c r="AG76">
        <f>SUM(Table2[[#This Row],[Housing]:[Household goods and services]],Table2[[#This Row],[Transport and communication]],Table2[[#This Row],[Education]])</f>
        <v>581</v>
      </c>
      <c r="AH76">
        <f>SUM(Table2[[#This Row],[Clothing]:[Clothing and footwear]])</f>
        <v>364.9</v>
      </c>
      <c r="AI76">
        <f>SUM(Table2[[#This Row],[Pan, tobacco and intoxicants]],Table2[[#This Row],[Recreation and amusement]],Table2[[#This Row],[Personal care and effects]])</f>
        <v>349</v>
      </c>
    </row>
    <row r="77" spans="1:35" x14ac:dyDescent="0.25">
      <c r="A77" t="s">
        <v>30</v>
      </c>
      <c r="B77">
        <v>2015</v>
      </c>
      <c r="C77" t="s">
        <v>36</v>
      </c>
      <c r="D77" s="2">
        <v>42036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v>124.2</v>
      </c>
      <c r="S77">
        <v>125.4</v>
      </c>
      <c r="T77">
        <v>122.7</v>
      </c>
      <c r="U77">
        <v>125</v>
      </c>
      <c r="V77">
        <v>118.1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  <c r="AF77">
        <f>SUM(Table2[[#This Row],[Cereals and products]:[Food and beverages]])</f>
        <v>1570.5999999999997</v>
      </c>
      <c r="AG77">
        <f>SUM(Table2[[#This Row],[Housing]:[Household goods and services]],Table2[[#This Row],[Transport and communication]],Table2[[#This Row],[Education]])</f>
        <v>587.30000000000007</v>
      </c>
      <c r="AH77">
        <f>SUM(Table2[[#This Row],[Clothing]:[Clothing and footwear]])</f>
        <v>373.1</v>
      </c>
      <c r="AI77">
        <f>SUM(Table2[[#This Row],[Pan, tobacco and intoxicants]],Table2[[#This Row],[Recreation and amusement]],Table2[[#This Row],[Personal care and effects]])</f>
        <v>349.8</v>
      </c>
    </row>
    <row r="78" spans="1:35" x14ac:dyDescent="0.25">
      <c r="A78" t="s">
        <v>33</v>
      </c>
      <c r="B78">
        <v>2015</v>
      </c>
      <c r="C78" t="s">
        <v>36</v>
      </c>
      <c r="D78" s="2">
        <v>42036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v>128.1</v>
      </c>
      <c r="S78">
        <v>121.3</v>
      </c>
      <c r="T78">
        <v>116.5</v>
      </c>
      <c r="U78">
        <v>120.6</v>
      </c>
      <c r="V78"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  <c r="AF78">
        <f>SUM(Table2[[#This Row],[Cereals and products]:[Food and beverages]])</f>
        <v>1571.1000000000001</v>
      </c>
      <c r="AG78">
        <f>SUM(Table2[[#This Row],[Housing]:[Household goods and services]],Table2[[#This Row],[Transport and communication]],Table2[[#This Row],[Education]])</f>
        <v>577</v>
      </c>
      <c r="AH78">
        <f>SUM(Table2[[#This Row],[Clothing]:[Clothing and footwear]])</f>
        <v>358.4</v>
      </c>
      <c r="AI78">
        <f>SUM(Table2[[#This Row],[Pan, tobacco and intoxicants]],Table2[[#This Row],[Recreation and amusement]],Table2[[#This Row],[Personal care and effects]])</f>
        <v>354.7</v>
      </c>
    </row>
    <row r="79" spans="1:35" x14ac:dyDescent="0.25">
      <c r="A79" t="s">
        <v>35</v>
      </c>
      <c r="B79">
        <v>2015</v>
      </c>
      <c r="C79" t="s">
        <v>36</v>
      </c>
      <c r="D79" s="2">
        <v>42036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v>125.2</v>
      </c>
      <c r="S79">
        <v>123.8</v>
      </c>
      <c r="T79">
        <v>120.1</v>
      </c>
      <c r="U79">
        <v>123.3</v>
      </c>
      <c r="V79"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  <c r="AF79">
        <f>SUM(Table2[[#This Row],[Cereals and products]:[Food and beverages]])</f>
        <v>1569.3999999999996</v>
      </c>
      <c r="AG79">
        <f>SUM(Table2[[#This Row],[Housing]:[Household goods and services]],Table2[[#This Row],[Transport and communication]],Table2[[#This Row],[Education]])</f>
        <v>582.9</v>
      </c>
      <c r="AH79">
        <f>SUM(Table2[[#This Row],[Clothing]:[Clothing and footwear]])</f>
        <v>367.2</v>
      </c>
      <c r="AI79">
        <f>SUM(Table2[[#This Row],[Pan, tobacco and intoxicants]],Table2[[#This Row],[Recreation and amusement]],Table2[[#This Row],[Personal care and effects]])</f>
        <v>351.3</v>
      </c>
    </row>
    <row r="80" spans="1:35" x14ac:dyDescent="0.25">
      <c r="A80" t="s">
        <v>30</v>
      </c>
      <c r="B80">
        <v>2015</v>
      </c>
      <c r="C80" t="s">
        <v>38</v>
      </c>
      <c r="D80" s="2">
        <v>42064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v>124.7</v>
      </c>
      <c r="S80">
        <v>126</v>
      </c>
      <c r="T80">
        <v>122.9</v>
      </c>
      <c r="U80">
        <v>125.5</v>
      </c>
      <c r="V80">
        <v>118.6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  <c r="AF80">
        <f>SUM(Table2[[#This Row],[Cereals and products]:[Food and beverages]])</f>
        <v>1571.5</v>
      </c>
      <c r="AG80">
        <f>SUM(Table2[[#This Row],[Housing]:[Household goods and services]],Table2[[#This Row],[Transport and communication]],Table2[[#This Row],[Education]])</f>
        <v>590.4</v>
      </c>
      <c r="AH80">
        <f>SUM(Table2[[#This Row],[Clothing]:[Clothing and footwear]])</f>
        <v>374.4</v>
      </c>
      <c r="AI80">
        <f>SUM(Table2[[#This Row],[Pan, tobacco and intoxicants]],Table2[[#This Row],[Recreation and amusement]],Table2[[#This Row],[Personal care and effects]])</f>
        <v>351</v>
      </c>
    </row>
    <row r="81" spans="1:35" x14ac:dyDescent="0.25">
      <c r="A81" t="s">
        <v>33</v>
      </c>
      <c r="B81">
        <v>2015</v>
      </c>
      <c r="C81" t="s">
        <v>38</v>
      </c>
      <c r="D81" s="2">
        <v>42064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v>128.80000000000001</v>
      </c>
      <c r="S81">
        <v>121.7</v>
      </c>
      <c r="T81">
        <v>116.9</v>
      </c>
      <c r="U81">
        <v>120.9</v>
      </c>
      <c r="V81"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  <c r="AF81">
        <f>SUM(Table2[[#This Row],[Cereals and products]:[Food and beverages]])</f>
        <v>1568.0000000000002</v>
      </c>
      <c r="AG81">
        <f>SUM(Table2[[#This Row],[Housing]:[Household goods and services]],Table2[[#This Row],[Transport and communication]],Table2[[#This Row],[Education]])</f>
        <v>580</v>
      </c>
      <c r="AH81">
        <f>SUM(Table2[[#This Row],[Clothing]:[Clothing and footwear]])</f>
        <v>359.5</v>
      </c>
      <c r="AI81">
        <f>SUM(Table2[[#This Row],[Pan, tobacco and intoxicants]],Table2[[#This Row],[Recreation and amusement]],Table2[[#This Row],[Personal care and effects]])</f>
        <v>355.5</v>
      </c>
    </row>
    <row r="82" spans="1:35" x14ac:dyDescent="0.25">
      <c r="A82" t="s">
        <v>35</v>
      </c>
      <c r="B82">
        <v>2015</v>
      </c>
      <c r="C82" t="s">
        <v>38</v>
      </c>
      <c r="D82" s="2">
        <v>42064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v>125.8</v>
      </c>
      <c r="S82">
        <v>124.3</v>
      </c>
      <c r="T82">
        <v>120.4</v>
      </c>
      <c r="U82">
        <v>123.7</v>
      </c>
      <c r="V82"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  <c r="AF82">
        <f>SUM(Table2[[#This Row],[Cereals and products]:[Food and beverages]])</f>
        <v>1569.1</v>
      </c>
      <c r="AG82">
        <f>SUM(Table2[[#This Row],[Housing]:[Household goods and services]],Table2[[#This Row],[Transport and communication]],Table2[[#This Row],[Education]])</f>
        <v>586.1</v>
      </c>
      <c r="AH82">
        <f>SUM(Table2[[#This Row],[Clothing]:[Clothing and footwear]])</f>
        <v>368.4</v>
      </c>
      <c r="AI82">
        <f>SUM(Table2[[#This Row],[Pan, tobacco and intoxicants]],Table2[[#This Row],[Recreation and amusement]],Table2[[#This Row],[Personal care and effects]])</f>
        <v>352.2</v>
      </c>
    </row>
    <row r="83" spans="1:35" x14ac:dyDescent="0.25">
      <c r="A83" t="s">
        <v>30</v>
      </c>
      <c r="B83">
        <v>2015</v>
      </c>
      <c r="C83" t="s">
        <v>39</v>
      </c>
      <c r="D83" s="2">
        <v>42095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v>125.7</v>
      </c>
      <c r="S83">
        <v>126.4</v>
      </c>
      <c r="T83">
        <v>123.3</v>
      </c>
      <c r="U83">
        <v>126</v>
      </c>
      <c r="V83">
        <v>119.2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  <c r="AF83">
        <f>SUM(Table2[[#This Row],[Cereals and products]:[Food and beverages]])</f>
        <v>1577.2</v>
      </c>
      <c r="AG83">
        <f>SUM(Table2[[#This Row],[Housing]:[Household goods and services]],Table2[[#This Row],[Transport and communication]],Table2[[#This Row],[Education]])</f>
        <v>593.1</v>
      </c>
      <c r="AH83">
        <f>SUM(Table2[[#This Row],[Clothing]:[Clothing and footwear]])</f>
        <v>375.7</v>
      </c>
      <c r="AI83">
        <f>SUM(Table2[[#This Row],[Pan, tobacco and intoxicants]],Table2[[#This Row],[Recreation and amusement]],Table2[[#This Row],[Personal care and effects]])</f>
        <v>353.5</v>
      </c>
    </row>
    <row r="84" spans="1:35" x14ac:dyDescent="0.25">
      <c r="A84" t="s">
        <v>33</v>
      </c>
      <c r="B84">
        <v>2015</v>
      </c>
      <c r="C84" t="s">
        <v>39</v>
      </c>
      <c r="D84" s="2">
        <v>42095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v>130.1</v>
      </c>
      <c r="S84">
        <v>122.1</v>
      </c>
      <c r="T84">
        <v>117.2</v>
      </c>
      <c r="U84">
        <v>121.3</v>
      </c>
      <c r="V84"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  <c r="AF84">
        <f>SUM(Table2[[#This Row],[Cereals and products]:[Food and beverages]])</f>
        <v>1576.1</v>
      </c>
      <c r="AG84">
        <f>SUM(Table2[[#This Row],[Housing]:[Household goods and services]],Table2[[#This Row],[Transport and communication]],Table2[[#This Row],[Education]])</f>
        <v>582.40000000000009</v>
      </c>
      <c r="AH84">
        <f>SUM(Table2[[#This Row],[Clothing]:[Clothing and footwear]])</f>
        <v>360.6</v>
      </c>
      <c r="AI84">
        <f>SUM(Table2[[#This Row],[Pan, tobacco and intoxicants]],Table2[[#This Row],[Recreation and amusement]],Table2[[#This Row],[Personal care and effects]])</f>
        <v>357.5</v>
      </c>
    </row>
    <row r="85" spans="1:35" x14ac:dyDescent="0.25">
      <c r="A85" t="s">
        <v>35</v>
      </c>
      <c r="B85">
        <v>2015</v>
      </c>
      <c r="C85" t="s">
        <v>39</v>
      </c>
      <c r="D85" s="2">
        <v>42095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v>126.9</v>
      </c>
      <c r="S85">
        <v>124.7</v>
      </c>
      <c r="T85">
        <v>120.8</v>
      </c>
      <c r="U85">
        <v>124.1</v>
      </c>
      <c r="V85"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  <c r="AF85">
        <f>SUM(Table2[[#This Row],[Cereals and products]:[Food and beverages]])</f>
        <v>1575.7</v>
      </c>
      <c r="AG85">
        <f>SUM(Table2[[#This Row],[Housing]:[Household goods and services]],Table2[[#This Row],[Transport and communication]],Table2[[#This Row],[Education]])</f>
        <v>588.70000000000005</v>
      </c>
      <c r="AH85">
        <f>SUM(Table2[[#This Row],[Clothing]:[Clothing and footwear]])</f>
        <v>369.6</v>
      </c>
      <c r="AI85">
        <f>SUM(Table2[[#This Row],[Pan, tobacco and intoxicants]],Table2[[#This Row],[Recreation and amusement]],Table2[[#This Row],[Personal care and effects]])</f>
        <v>354.5</v>
      </c>
    </row>
    <row r="86" spans="1:35" x14ac:dyDescent="0.25">
      <c r="A86" t="s">
        <v>30</v>
      </c>
      <c r="B86">
        <v>2015</v>
      </c>
      <c r="C86" t="s">
        <v>41</v>
      </c>
      <c r="D86" s="2">
        <v>42125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v>126.7</v>
      </c>
      <c r="S86">
        <v>127.3</v>
      </c>
      <c r="T86">
        <v>124.1</v>
      </c>
      <c r="U86">
        <v>126.8</v>
      </c>
      <c r="V86">
        <v>119.6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  <c r="AF86">
        <f>SUM(Table2[[#This Row],[Cereals and products]:[Food and beverages]])</f>
        <v>1587.7</v>
      </c>
      <c r="AG86">
        <f>SUM(Table2[[#This Row],[Housing]:[Household goods and services]],Table2[[#This Row],[Transport and communication]],Table2[[#This Row],[Education]])</f>
        <v>596.79999999999995</v>
      </c>
      <c r="AH86">
        <f>SUM(Table2[[#This Row],[Clothing]:[Clothing and footwear]])</f>
        <v>378.2</v>
      </c>
      <c r="AI86">
        <f>SUM(Table2[[#This Row],[Pan, tobacco and intoxicants]],Table2[[#This Row],[Recreation and amusement]],Table2[[#This Row],[Personal care and effects]])</f>
        <v>355.7</v>
      </c>
    </row>
    <row r="87" spans="1:35" x14ac:dyDescent="0.25">
      <c r="A87" t="s">
        <v>33</v>
      </c>
      <c r="B87">
        <v>2015</v>
      </c>
      <c r="C87" t="s">
        <v>41</v>
      </c>
      <c r="D87" s="2">
        <v>42125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v>131.30000000000001</v>
      </c>
      <c r="S87">
        <v>122.4</v>
      </c>
      <c r="T87">
        <v>117.4</v>
      </c>
      <c r="U87">
        <v>121.6</v>
      </c>
      <c r="V87"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  <c r="AF87">
        <f>SUM(Table2[[#This Row],[Cereals and products]:[Food and beverages]])</f>
        <v>1598.9</v>
      </c>
      <c r="AG87">
        <f>SUM(Table2[[#This Row],[Housing]:[Household goods and services]],Table2[[#This Row],[Transport and communication]],Table2[[#This Row],[Education]])</f>
        <v>586</v>
      </c>
      <c r="AH87">
        <f>SUM(Table2[[#This Row],[Clothing]:[Clothing and footwear]])</f>
        <v>361.4</v>
      </c>
      <c r="AI87">
        <f>SUM(Table2[[#This Row],[Pan, tobacco and intoxicants]],Table2[[#This Row],[Recreation and amusement]],Table2[[#This Row],[Personal care and effects]])</f>
        <v>359.70000000000005</v>
      </c>
    </row>
    <row r="88" spans="1:35" x14ac:dyDescent="0.25">
      <c r="A88" t="s">
        <v>35</v>
      </c>
      <c r="B88">
        <v>2015</v>
      </c>
      <c r="C88" t="s">
        <v>41</v>
      </c>
      <c r="D88" s="2">
        <v>42125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v>127.9</v>
      </c>
      <c r="S88">
        <v>125.4</v>
      </c>
      <c r="T88">
        <v>121.3</v>
      </c>
      <c r="U88">
        <v>124.7</v>
      </c>
      <c r="V88"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  <c r="AF88">
        <f>SUM(Table2[[#This Row],[Cereals and products]:[Food and beverages]])</f>
        <v>1590.4</v>
      </c>
      <c r="AG88">
        <f>SUM(Table2[[#This Row],[Housing]:[Household goods and services]],Table2[[#This Row],[Transport and communication]],Table2[[#This Row],[Education]])</f>
        <v>592.4</v>
      </c>
      <c r="AH88">
        <f>SUM(Table2[[#This Row],[Clothing]:[Clothing and footwear]])</f>
        <v>371.4</v>
      </c>
      <c r="AI88">
        <f>SUM(Table2[[#This Row],[Pan, tobacco and intoxicants]],Table2[[#This Row],[Recreation and amusement]],Table2[[#This Row],[Personal care and effects]])</f>
        <v>356.5</v>
      </c>
    </row>
    <row r="89" spans="1:35" x14ac:dyDescent="0.25">
      <c r="A89" t="s">
        <v>30</v>
      </c>
      <c r="B89">
        <v>2015</v>
      </c>
      <c r="C89" t="s">
        <v>42</v>
      </c>
      <c r="D89" s="2">
        <v>42156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v>128.19999999999999</v>
      </c>
      <c r="S89">
        <v>128.4</v>
      </c>
      <c r="T89">
        <v>125.1</v>
      </c>
      <c r="U89">
        <v>128</v>
      </c>
      <c r="V89">
        <v>119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  <c r="AF89">
        <f>SUM(Table2[[#This Row],[Cereals and products]:[Food and beverages]])</f>
        <v>1617.8999999999999</v>
      </c>
      <c r="AG89">
        <f>SUM(Table2[[#This Row],[Housing]:[Household goods and services]],Table2[[#This Row],[Transport and communication]],Table2[[#This Row],[Education]])</f>
        <v>600.59999999999991</v>
      </c>
      <c r="AH89">
        <f>SUM(Table2[[#This Row],[Clothing]:[Clothing and footwear]])</f>
        <v>381.5</v>
      </c>
      <c r="AI89">
        <f>SUM(Table2[[#This Row],[Pan, tobacco and intoxicants]],Table2[[#This Row],[Recreation and amusement]],Table2[[#This Row],[Personal care and effects]])</f>
        <v>359.1</v>
      </c>
    </row>
    <row r="90" spans="1:35" x14ac:dyDescent="0.25">
      <c r="A90" t="s">
        <v>33</v>
      </c>
      <c r="B90">
        <v>2015</v>
      </c>
      <c r="C90" t="s">
        <v>42</v>
      </c>
      <c r="D90" s="2">
        <v>42156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v>132.1</v>
      </c>
      <c r="S90">
        <v>123.2</v>
      </c>
      <c r="T90">
        <v>117.6</v>
      </c>
      <c r="U90">
        <v>122.3</v>
      </c>
      <c r="V90"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  <c r="AF90">
        <f>SUM(Table2[[#This Row],[Cereals and products]:[Food and beverages]])</f>
        <v>1636.6</v>
      </c>
      <c r="AG90">
        <f>SUM(Table2[[#This Row],[Housing]:[Household goods and services]],Table2[[#This Row],[Transport and communication]],Table2[[#This Row],[Education]])</f>
        <v>588.79999999999995</v>
      </c>
      <c r="AH90">
        <f>SUM(Table2[[#This Row],[Clothing]:[Clothing and footwear]])</f>
        <v>363.1</v>
      </c>
      <c r="AI90">
        <f>SUM(Table2[[#This Row],[Pan, tobacco and intoxicants]],Table2[[#This Row],[Recreation and amusement]],Table2[[#This Row],[Personal care and effects]])</f>
        <v>360.8</v>
      </c>
    </row>
    <row r="91" spans="1:35" x14ac:dyDescent="0.25">
      <c r="A91" t="s">
        <v>35</v>
      </c>
      <c r="B91">
        <v>2015</v>
      </c>
      <c r="C91" t="s">
        <v>42</v>
      </c>
      <c r="D91" s="2">
        <v>42156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v>129.19999999999999</v>
      </c>
      <c r="S91">
        <v>126.4</v>
      </c>
      <c r="T91">
        <v>122</v>
      </c>
      <c r="U91">
        <v>125.7</v>
      </c>
      <c r="V91"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  <c r="AF91">
        <f>SUM(Table2[[#This Row],[Cereals and products]:[Food and beverages]])</f>
        <v>1623.5</v>
      </c>
      <c r="AG91">
        <f>SUM(Table2[[#This Row],[Housing]:[Household goods and services]],Table2[[#This Row],[Transport and communication]],Table2[[#This Row],[Education]])</f>
        <v>595.9</v>
      </c>
      <c r="AH91">
        <f>SUM(Table2[[#This Row],[Clothing]:[Clothing and footwear]])</f>
        <v>374.1</v>
      </c>
      <c r="AI91">
        <f>SUM(Table2[[#This Row],[Pan, tobacco and intoxicants]],Table2[[#This Row],[Recreation and amusement]],Table2[[#This Row],[Personal care and effects]])</f>
        <v>358.9</v>
      </c>
    </row>
    <row r="92" spans="1:35" x14ac:dyDescent="0.25">
      <c r="A92" t="s">
        <v>30</v>
      </c>
      <c r="B92">
        <v>2015</v>
      </c>
      <c r="C92" t="s">
        <v>44</v>
      </c>
      <c r="D92" s="2">
        <v>42186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v>129.4</v>
      </c>
      <c r="S92">
        <v>128.80000000000001</v>
      </c>
      <c r="T92">
        <v>125.5</v>
      </c>
      <c r="U92">
        <v>128.30000000000001</v>
      </c>
      <c r="V92">
        <v>119.9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  <c r="AF92">
        <f>SUM(Table2[[#This Row],[Cereals and products]:[Food and beverages]])</f>
        <v>1625.3</v>
      </c>
      <c r="AG92">
        <f>SUM(Table2[[#This Row],[Housing]:[Household goods and services]],Table2[[#This Row],[Transport and communication]],Table2[[#This Row],[Education]])</f>
        <v>602.9</v>
      </c>
      <c r="AH92">
        <f>SUM(Table2[[#This Row],[Clothing]:[Clothing and footwear]])</f>
        <v>382.6</v>
      </c>
      <c r="AI92">
        <f>SUM(Table2[[#This Row],[Pan, tobacco and intoxicants]],Table2[[#This Row],[Recreation and amusement]],Table2[[#This Row],[Personal care and effects]])</f>
        <v>360.1</v>
      </c>
    </row>
    <row r="93" spans="1:35" x14ac:dyDescent="0.25">
      <c r="A93" t="s">
        <v>33</v>
      </c>
      <c r="B93">
        <v>2015</v>
      </c>
      <c r="C93" t="s">
        <v>44</v>
      </c>
      <c r="D93" s="2">
        <v>42186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v>133.1</v>
      </c>
      <c r="S93">
        <v>123.5</v>
      </c>
      <c r="T93">
        <v>117.9</v>
      </c>
      <c r="U93">
        <v>122.7</v>
      </c>
      <c r="V93"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  <c r="AF93">
        <f>SUM(Table2[[#This Row],[Cereals and products]:[Food and beverages]])</f>
        <v>1642.8999999999999</v>
      </c>
      <c r="AG93">
        <f>SUM(Table2[[#This Row],[Housing]:[Household goods and services]],Table2[[#This Row],[Transport and communication]],Table2[[#This Row],[Education]])</f>
        <v>591.6</v>
      </c>
      <c r="AH93">
        <f>SUM(Table2[[#This Row],[Clothing]:[Clothing and footwear]])</f>
        <v>364.1</v>
      </c>
      <c r="AI93">
        <f>SUM(Table2[[#This Row],[Pan, tobacco and intoxicants]],Table2[[#This Row],[Recreation and amusement]],Table2[[#This Row],[Personal care and effects]])</f>
        <v>361.4</v>
      </c>
    </row>
    <row r="94" spans="1:35" x14ac:dyDescent="0.25">
      <c r="A94" t="s">
        <v>35</v>
      </c>
      <c r="B94">
        <v>2015</v>
      </c>
      <c r="C94" t="s">
        <v>44</v>
      </c>
      <c r="D94" s="2">
        <v>42186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v>130.4</v>
      </c>
      <c r="S94">
        <v>126.7</v>
      </c>
      <c r="T94">
        <v>122.3</v>
      </c>
      <c r="U94">
        <v>126.1</v>
      </c>
      <c r="V94"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  <c r="AF94">
        <f>SUM(Table2[[#This Row],[Cereals and products]:[Food and beverages]])</f>
        <v>1630.6000000000001</v>
      </c>
      <c r="AG94">
        <f>SUM(Table2[[#This Row],[Housing]:[Household goods and services]],Table2[[#This Row],[Transport and communication]],Table2[[#This Row],[Education]])</f>
        <v>598.4</v>
      </c>
      <c r="AH94">
        <f>SUM(Table2[[#This Row],[Clothing]:[Clothing and footwear]])</f>
        <v>375.1</v>
      </c>
      <c r="AI94">
        <f>SUM(Table2[[#This Row],[Pan, tobacco and intoxicants]],Table2[[#This Row],[Recreation and amusement]],Table2[[#This Row],[Personal care and effects]])</f>
        <v>359.90000000000003</v>
      </c>
    </row>
    <row r="95" spans="1:35" x14ac:dyDescent="0.25">
      <c r="A95" t="s">
        <v>30</v>
      </c>
      <c r="B95">
        <v>2015</v>
      </c>
      <c r="C95" t="s">
        <v>46</v>
      </c>
      <c r="D95" s="2">
        <v>42217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v>130.1</v>
      </c>
      <c r="S95">
        <v>129.5</v>
      </c>
      <c r="T95">
        <v>126.3</v>
      </c>
      <c r="U95">
        <v>129</v>
      </c>
      <c r="V95">
        <v>120.9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  <c r="AF95">
        <f>SUM(Table2[[#This Row],[Cereals and products]:[Food and beverages]])</f>
        <v>1646.6</v>
      </c>
      <c r="AG95">
        <f>SUM(Table2[[#This Row],[Housing]:[Household goods and services]],Table2[[#This Row],[Transport and communication]],Table2[[#This Row],[Education]])</f>
        <v>605.6</v>
      </c>
      <c r="AH95">
        <f>SUM(Table2[[#This Row],[Clothing]:[Clothing and footwear]])</f>
        <v>384.8</v>
      </c>
      <c r="AI95">
        <f>SUM(Table2[[#This Row],[Pan, tobacco and intoxicants]],Table2[[#This Row],[Recreation and amusement]],Table2[[#This Row],[Personal care and effects]])</f>
        <v>361.1</v>
      </c>
    </row>
    <row r="96" spans="1:35" x14ac:dyDescent="0.25">
      <c r="A96" t="s">
        <v>33</v>
      </c>
      <c r="B96">
        <v>2015</v>
      </c>
      <c r="C96" t="s">
        <v>46</v>
      </c>
      <c r="D96" s="2">
        <v>42217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v>134.19999999999999</v>
      </c>
      <c r="S96">
        <v>123.7</v>
      </c>
      <c r="T96">
        <v>118.2</v>
      </c>
      <c r="U96">
        <v>122.9</v>
      </c>
      <c r="V96"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  <c r="AF96">
        <f>SUM(Table2[[#This Row],[Cereals and products]:[Food and beverages]])</f>
        <v>1658.8999999999999</v>
      </c>
      <c r="AG96">
        <f>SUM(Table2[[#This Row],[Housing]:[Household goods and services]],Table2[[#This Row],[Transport and communication]],Table2[[#This Row],[Education]])</f>
        <v>592.30000000000007</v>
      </c>
      <c r="AH96">
        <f>SUM(Table2[[#This Row],[Clothing]:[Clothing and footwear]])</f>
        <v>364.8</v>
      </c>
      <c r="AI96">
        <f>SUM(Table2[[#This Row],[Pan, tobacco and intoxicants]],Table2[[#This Row],[Recreation and amusement]],Table2[[#This Row],[Personal care and effects]])</f>
        <v>363.4</v>
      </c>
    </row>
    <row r="97" spans="1:35" x14ac:dyDescent="0.25">
      <c r="A97" t="s">
        <v>35</v>
      </c>
      <c r="B97">
        <v>2015</v>
      </c>
      <c r="C97" t="s">
        <v>46</v>
      </c>
      <c r="D97" s="2">
        <v>42217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v>131.19999999999999</v>
      </c>
      <c r="S97">
        <v>127.2</v>
      </c>
      <c r="T97">
        <v>122.9</v>
      </c>
      <c r="U97">
        <v>126.6</v>
      </c>
      <c r="V97"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  <c r="AF97">
        <f>SUM(Table2[[#This Row],[Cereals and products]:[Food and beverages]])</f>
        <v>1649.6</v>
      </c>
      <c r="AG97">
        <f>SUM(Table2[[#This Row],[Housing]:[Household goods and services]],Table2[[#This Row],[Transport and communication]],Table2[[#This Row],[Education]])</f>
        <v>600.29999999999995</v>
      </c>
      <c r="AH97">
        <f>SUM(Table2[[#This Row],[Clothing]:[Clothing and footwear]])</f>
        <v>376.70000000000005</v>
      </c>
      <c r="AI97">
        <f>SUM(Table2[[#This Row],[Pan, tobacco and intoxicants]],Table2[[#This Row],[Recreation and amusement]],Table2[[#This Row],[Personal care and effects]])</f>
        <v>361.3</v>
      </c>
    </row>
    <row r="98" spans="1:35" x14ac:dyDescent="0.25">
      <c r="A98" t="s">
        <v>30</v>
      </c>
      <c r="B98">
        <v>2015</v>
      </c>
      <c r="C98" t="s">
        <v>48</v>
      </c>
      <c r="D98" s="2">
        <v>42248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v>131</v>
      </c>
      <c r="S98">
        <v>130.4</v>
      </c>
      <c r="T98">
        <v>126.8</v>
      </c>
      <c r="U98">
        <v>129.9</v>
      </c>
      <c r="V98">
        <v>121.6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  <c r="AF98">
        <f>SUM(Table2[[#This Row],[Cereals and products]:[Food and beverages]])</f>
        <v>1657.6000000000001</v>
      </c>
      <c r="AG98">
        <f>SUM(Table2[[#This Row],[Housing]:[Household goods and services]],Table2[[#This Row],[Transport and communication]],Table2[[#This Row],[Education]])</f>
        <v>608.1</v>
      </c>
      <c r="AH98">
        <f>SUM(Table2[[#This Row],[Clothing]:[Clothing and footwear]])</f>
        <v>387.1</v>
      </c>
      <c r="AI98">
        <f>SUM(Table2[[#This Row],[Pan, tobacco and intoxicants]],Table2[[#This Row],[Recreation and amusement]],Table2[[#This Row],[Personal care and effects]])</f>
        <v>364.3</v>
      </c>
    </row>
    <row r="99" spans="1:35" x14ac:dyDescent="0.25">
      <c r="A99" t="s">
        <v>33</v>
      </c>
      <c r="B99">
        <v>2015</v>
      </c>
      <c r="C99" t="s">
        <v>48</v>
      </c>
      <c r="D99" s="2">
        <v>42248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v>134.69999999999999</v>
      </c>
      <c r="S99">
        <v>124</v>
      </c>
      <c r="T99">
        <v>118.6</v>
      </c>
      <c r="U99">
        <v>123.2</v>
      </c>
      <c r="V99"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  <c r="AF99">
        <f>SUM(Table2[[#This Row],[Cereals and products]:[Food and beverages]])</f>
        <v>1664.8</v>
      </c>
      <c r="AG99">
        <f>SUM(Table2[[#This Row],[Housing]:[Household goods and services]],Table2[[#This Row],[Transport and communication]],Table2[[#This Row],[Education]])</f>
        <v>592.70000000000005</v>
      </c>
      <c r="AH99">
        <f>SUM(Table2[[#This Row],[Clothing]:[Clothing and footwear]])</f>
        <v>365.8</v>
      </c>
      <c r="AI99">
        <f>SUM(Table2[[#This Row],[Pan, tobacco and intoxicants]],Table2[[#This Row],[Recreation and amusement]],Table2[[#This Row],[Personal care and effects]])</f>
        <v>364.9</v>
      </c>
    </row>
    <row r="100" spans="1:35" x14ac:dyDescent="0.25">
      <c r="A100" t="s">
        <v>35</v>
      </c>
      <c r="B100">
        <v>2015</v>
      </c>
      <c r="C100" t="s">
        <v>48</v>
      </c>
      <c r="D100" s="2">
        <v>42248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v>132</v>
      </c>
      <c r="S100">
        <v>127.9</v>
      </c>
      <c r="T100">
        <v>123.4</v>
      </c>
      <c r="U100">
        <v>127.2</v>
      </c>
      <c r="V100"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  <c r="AF100">
        <f>SUM(Table2[[#This Row],[Cereals and products]:[Food and beverages]])</f>
        <v>1658.3000000000002</v>
      </c>
      <c r="AG100">
        <f>SUM(Table2[[#This Row],[Housing]:[Household goods and services]],Table2[[#This Row],[Transport and communication]],Table2[[#This Row],[Education]])</f>
        <v>601.6</v>
      </c>
      <c r="AH100">
        <f>SUM(Table2[[#This Row],[Clothing]:[Clothing and footwear]])</f>
        <v>378.5</v>
      </c>
      <c r="AI100">
        <f>SUM(Table2[[#This Row],[Pan, tobacco and intoxicants]],Table2[[#This Row],[Recreation and amusement]],Table2[[#This Row],[Personal care and effects]])</f>
        <v>363.70000000000005</v>
      </c>
    </row>
    <row r="101" spans="1:35" x14ac:dyDescent="0.25">
      <c r="A101" t="s">
        <v>30</v>
      </c>
      <c r="B101">
        <v>2015</v>
      </c>
      <c r="C101" t="s">
        <v>50</v>
      </c>
      <c r="D101" s="2">
        <v>42278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v>131.5</v>
      </c>
      <c r="S101">
        <v>131.1</v>
      </c>
      <c r="T101">
        <v>127.3</v>
      </c>
      <c r="U101">
        <v>130.6</v>
      </c>
      <c r="V101">
        <v>122.4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  <c r="AF101">
        <f>SUM(Table2[[#This Row],[Cereals and products]:[Food and beverages]])</f>
        <v>1674.6</v>
      </c>
      <c r="AG101">
        <f>SUM(Table2[[#This Row],[Housing]:[Household goods and services]],Table2[[#This Row],[Transport and communication]],Table2[[#This Row],[Education]])</f>
        <v>610.79999999999995</v>
      </c>
      <c r="AH101">
        <f>SUM(Table2[[#This Row],[Clothing]:[Clothing and footwear]])</f>
        <v>389</v>
      </c>
      <c r="AI101">
        <f>SUM(Table2[[#This Row],[Pan, tobacco and intoxicants]],Table2[[#This Row],[Recreation and amusement]],Table2[[#This Row],[Personal care and effects]])</f>
        <v>365.8</v>
      </c>
    </row>
    <row r="102" spans="1:35" x14ac:dyDescent="0.25">
      <c r="A102" t="s">
        <v>33</v>
      </c>
      <c r="B102">
        <v>2015</v>
      </c>
      <c r="C102" t="s">
        <v>50</v>
      </c>
      <c r="D102" s="2">
        <v>42278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v>135.30000000000001</v>
      </c>
      <c r="S102">
        <v>124.4</v>
      </c>
      <c r="T102">
        <v>118.8</v>
      </c>
      <c r="U102">
        <v>123.6</v>
      </c>
      <c r="V102"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  <c r="AF102">
        <f>SUM(Table2[[#This Row],[Cereals and products]:[Food and beverages]])</f>
        <v>1692.8000000000002</v>
      </c>
      <c r="AG102">
        <f>SUM(Table2[[#This Row],[Housing]:[Household goods and services]],Table2[[#This Row],[Transport and communication]],Table2[[#This Row],[Education]])</f>
        <v>593.79999999999995</v>
      </c>
      <c r="AH102">
        <f>SUM(Table2[[#This Row],[Clothing]:[Clothing and footwear]])</f>
        <v>366.79999999999995</v>
      </c>
      <c r="AI102">
        <f>SUM(Table2[[#This Row],[Pan, tobacco and intoxicants]],Table2[[#This Row],[Recreation and amusement]],Table2[[#This Row],[Personal care and effects]])</f>
        <v>366.5</v>
      </c>
    </row>
    <row r="103" spans="1:35" x14ac:dyDescent="0.25">
      <c r="A103" t="s">
        <v>35</v>
      </c>
      <c r="B103">
        <v>2015</v>
      </c>
      <c r="C103" t="s">
        <v>50</v>
      </c>
      <c r="D103" s="2">
        <v>42278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v>132.5</v>
      </c>
      <c r="S103">
        <v>128.5</v>
      </c>
      <c r="T103">
        <v>123.8</v>
      </c>
      <c r="U103">
        <v>127.8</v>
      </c>
      <c r="V103"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  <c r="AF103">
        <f>SUM(Table2[[#This Row],[Cereals and products]:[Food and beverages]])</f>
        <v>1678.9999999999998</v>
      </c>
      <c r="AG103">
        <f>SUM(Table2[[#This Row],[Housing]:[Household goods and services]],Table2[[#This Row],[Transport and communication]],Table2[[#This Row],[Education]])</f>
        <v>603.5</v>
      </c>
      <c r="AH103">
        <f>SUM(Table2[[#This Row],[Clothing]:[Clothing and footwear]])</f>
        <v>380.1</v>
      </c>
      <c r="AI103">
        <f>SUM(Table2[[#This Row],[Pan, tobacco and intoxicants]],Table2[[#This Row],[Recreation and amusement]],Table2[[#This Row],[Personal care and effects]])</f>
        <v>365.1</v>
      </c>
    </row>
    <row r="104" spans="1:35" x14ac:dyDescent="0.25">
      <c r="A104" t="s">
        <v>30</v>
      </c>
      <c r="B104">
        <v>2015</v>
      </c>
      <c r="C104" t="s">
        <v>53</v>
      </c>
      <c r="D104" s="2">
        <v>42309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v>132.19999999999999</v>
      </c>
      <c r="S104">
        <v>132.1</v>
      </c>
      <c r="T104">
        <v>128.19999999999999</v>
      </c>
      <c r="U104">
        <v>131.5</v>
      </c>
      <c r="V104">
        <v>122.9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  <c r="AF104">
        <f>SUM(Table2[[#This Row],[Cereals and products]:[Food and beverages]])</f>
        <v>1686.3</v>
      </c>
      <c r="AG104">
        <f>SUM(Table2[[#This Row],[Housing]:[Household goods and services]],Table2[[#This Row],[Transport and communication]],Table2[[#This Row],[Education]])</f>
        <v>613.9</v>
      </c>
      <c r="AH104">
        <f>SUM(Table2[[#This Row],[Clothing]:[Clothing and footwear]])</f>
        <v>391.79999999999995</v>
      </c>
      <c r="AI104">
        <f>SUM(Table2[[#This Row],[Pan, tobacco and intoxicants]],Table2[[#This Row],[Recreation and amusement]],Table2[[#This Row],[Personal care and effects]])</f>
        <v>367.3</v>
      </c>
    </row>
    <row r="105" spans="1:35" x14ac:dyDescent="0.25">
      <c r="A105" t="s">
        <v>33</v>
      </c>
      <c r="B105">
        <v>2015</v>
      </c>
      <c r="C105" t="s">
        <v>53</v>
      </c>
      <c r="D105" s="2">
        <v>42309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v>137.6</v>
      </c>
      <c r="S105">
        <v>125</v>
      </c>
      <c r="T105">
        <v>119.3</v>
      </c>
      <c r="U105">
        <v>124.2</v>
      </c>
      <c r="V105"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  <c r="AF105">
        <f>SUM(Table2[[#This Row],[Cereals and products]:[Food and beverages]])</f>
        <v>1708.4999999999998</v>
      </c>
      <c r="AG105">
        <f>SUM(Table2[[#This Row],[Housing]:[Household goods and services]],Table2[[#This Row],[Transport and communication]],Table2[[#This Row],[Education]])</f>
        <v>594.9</v>
      </c>
      <c r="AH105">
        <f>SUM(Table2[[#This Row],[Clothing]:[Clothing and footwear]])</f>
        <v>368.5</v>
      </c>
      <c r="AI105">
        <f>SUM(Table2[[#This Row],[Pan, tobacco and intoxicants]],Table2[[#This Row],[Recreation and amusement]],Table2[[#This Row],[Personal care and effects]])</f>
        <v>368.8</v>
      </c>
    </row>
    <row r="106" spans="1:35" x14ac:dyDescent="0.25">
      <c r="A106" t="s">
        <v>35</v>
      </c>
      <c r="B106">
        <v>2015</v>
      </c>
      <c r="C106" t="s">
        <v>53</v>
      </c>
      <c r="D106" s="2">
        <v>42309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v>133.6</v>
      </c>
      <c r="S106">
        <v>129.30000000000001</v>
      </c>
      <c r="T106">
        <v>124.5</v>
      </c>
      <c r="U106">
        <v>128.6</v>
      </c>
      <c r="V106"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  <c r="AF106">
        <f>SUM(Table2[[#This Row],[Cereals and products]:[Food and beverages]])</f>
        <v>1692.1</v>
      </c>
      <c r="AG106">
        <f>SUM(Table2[[#This Row],[Housing]:[Household goods and services]],Table2[[#This Row],[Transport and communication]],Table2[[#This Row],[Education]])</f>
        <v>605.69999999999993</v>
      </c>
      <c r="AH106">
        <f>SUM(Table2[[#This Row],[Clothing]:[Clothing and footwear]])</f>
        <v>382.4</v>
      </c>
      <c r="AI106">
        <f>SUM(Table2[[#This Row],[Pan, tobacco and intoxicants]],Table2[[#This Row],[Recreation and amusement]],Table2[[#This Row],[Personal care and effects]])</f>
        <v>366.6</v>
      </c>
    </row>
    <row r="107" spans="1:35" x14ac:dyDescent="0.25">
      <c r="A107" t="s">
        <v>30</v>
      </c>
      <c r="B107">
        <v>2015</v>
      </c>
      <c r="C107" t="s">
        <v>55</v>
      </c>
      <c r="D107" s="2">
        <v>42339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v>133.1</v>
      </c>
      <c r="S107">
        <v>132.5</v>
      </c>
      <c r="T107">
        <v>128.5</v>
      </c>
      <c r="U107">
        <v>131.9</v>
      </c>
      <c r="V107">
        <v>122.4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  <c r="AF107">
        <f>SUM(Table2[[#This Row],[Cereals and products]:[Food and beverages]])</f>
        <v>1682.3000000000002</v>
      </c>
      <c r="AG107">
        <f>SUM(Table2[[#This Row],[Housing]:[Household goods and services]],Table2[[#This Row],[Transport and communication]],Table2[[#This Row],[Education]])</f>
        <v>613.70000000000005</v>
      </c>
      <c r="AH107">
        <f>SUM(Table2[[#This Row],[Clothing]:[Clothing and footwear]])</f>
        <v>392.9</v>
      </c>
      <c r="AI107">
        <f>SUM(Table2[[#This Row],[Pan, tobacco and intoxicants]],Table2[[#This Row],[Recreation and amusement]],Table2[[#This Row],[Personal care and effects]])</f>
        <v>368.79999999999995</v>
      </c>
    </row>
    <row r="108" spans="1:35" x14ac:dyDescent="0.25">
      <c r="A108" t="s">
        <v>33</v>
      </c>
      <c r="B108">
        <v>2015</v>
      </c>
      <c r="C108" t="s">
        <v>55</v>
      </c>
      <c r="D108" s="2">
        <v>42339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v>138.19999999999999</v>
      </c>
      <c r="S108">
        <v>125.4</v>
      </c>
      <c r="T108">
        <v>119.5</v>
      </c>
      <c r="U108">
        <v>124.5</v>
      </c>
      <c r="V108"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  <c r="AF108">
        <f>SUM(Table2[[#This Row],[Cereals and products]:[Food and beverages]])</f>
        <v>1698.8</v>
      </c>
      <c r="AG108">
        <f>SUM(Table2[[#This Row],[Housing]:[Household goods and services]],Table2[[#This Row],[Transport and communication]],Table2[[#This Row],[Education]])</f>
        <v>595.29999999999995</v>
      </c>
      <c r="AH108">
        <f>SUM(Table2[[#This Row],[Clothing]:[Clothing and footwear]])</f>
        <v>369.4</v>
      </c>
      <c r="AI108">
        <f>SUM(Table2[[#This Row],[Pan, tobacco and intoxicants]],Table2[[#This Row],[Recreation and amusement]],Table2[[#This Row],[Personal care and effects]])</f>
        <v>369.49999999999994</v>
      </c>
    </row>
    <row r="109" spans="1:35" x14ac:dyDescent="0.25">
      <c r="A109" t="s">
        <v>35</v>
      </c>
      <c r="B109">
        <v>2015</v>
      </c>
      <c r="C109" t="s">
        <v>55</v>
      </c>
      <c r="D109" s="2">
        <v>42339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v>134.5</v>
      </c>
      <c r="S109">
        <v>129.69999999999999</v>
      </c>
      <c r="T109">
        <v>124.8</v>
      </c>
      <c r="U109">
        <v>129</v>
      </c>
      <c r="V109"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  <c r="AF109">
        <f>SUM(Table2[[#This Row],[Cereals and products]:[Food and beverages]])</f>
        <v>1686.1000000000001</v>
      </c>
      <c r="AG109">
        <f>SUM(Table2[[#This Row],[Housing]:[Household goods and services]],Table2[[#This Row],[Transport and communication]],Table2[[#This Row],[Education]])</f>
        <v>605.70000000000005</v>
      </c>
      <c r="AH109">
        <f>SUM(Table2[[#This Row],[Clothing]:[Clothing and footwear]])</f>
        <v>383.5</v>
      </c>
      <c r="AI109">
        <f>SUM(Table2[[#This Row],[Pan, tobacco and intoxicants]],Table2[[#This Row],[Recreation and amusement]],Table2[[#This Row],[Personal care and effects]])</f>
        <v>367.8</v>
      </c>
    </row>
    <row r="110" spans="1:35" x14ac:dyDescent="0.25">
      <c r="A110" t="s">
        <v>30</v>
      </c>
      <c r="B110">
        <v>2016</v>
      </c>
      <c r="C110" t="s">
        <v>31</v>
      </c>
      <c r="D110" s="2">
        <v>42370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v>133.6</v>
      </c>
      <c r="S110">
        <v>133.19999999999999</v>
      </c>
      <c r="T110">
        <v>128.9</v>
      </c>
      <c r="U110">
        <v>132.6</v>
      </c>
      <c r="V110">
        <v>123.4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  <c r="AF110">
        <f>SUM(Table2[[#This Row],[Cereals and products]:[Food and beverages]])</f>
        <v>1690.1000000000001</v>
      </c>
      <c r="AG110">
        <f>SUM(Table2[[#This Row],[Housing]:[Household goods and services]],Table2[[#This Row],[Transport and communication]],Table2[[#This Row],[Education]])</f>
        <v>616.00000000000011</v>
      </c>
      <c r="AH110">
        <f>SUM(Table2[[#This Row],[Clothing]:[Clothing and footwear]])</f>
        <v>394.70000000000005</v>
      </c>
      <c r="AI110">
        <f>SUM(Table2[[#This Row],[Pan, tobacco and intoxicants]],Table2[[#This Row],[Recreation and amusement]],Table2[[#This Row],[Personal care and effects]])</f>
        <v>369.9</v>
      </c>
    </row>
    <row r="111" spans="1:35" x14ac:dyDescent="0.25">
      <c r="A111" t="s">
        <v>33</v>
      </c>
      <c r="B111">
        <v>2016</v>
      </c>
      <c r="C111" t="s">
        <v>31</v>
      </c>
      <c r="D111" s="2">
        <v>42370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v>139.5</v>
      </c>
      <c r="S111">
        <v>125.8</v>
      </c>
      <c r="T111">
        <v>119.8</v>
      </c>
      <c r="U111">
        <v>124.9</v>
      </c>
      <c r="V111"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  <c r="AF111">
        <f>SUM(Table2[[#This Row],[Cereals and products]:[Food and beverages]])</f>
        <v>1701.4</v>
      </c>
      <c r="AG111">
        <f>SUM(Table2[[#This Row],[Housing]:[Household goods and services]],Table2[[#This Row],[Transport and communication]],Table2[[#This Row],[Education]])</f>
        <v>597.19999999999993</v>
      </c>
      <c r="AH111">
        <f>SUM(Table2[[#This Row],[Clothing]:[Clothing and footwear]])</f>
        <v>370.5</v>
      </c>
      <c r="AI111">
        <f>SUM(Table2[[#This Row],[Pan, tobacco and intoxicants]],Table2[[#This Row],[Recreation and amusement]],Table2[[#This Row],[Personal care and effects]])</f>
        <v>372</v>
      </c>
    </row>
    <row r="112" spans="1:35" x14ac:dyDescent="0.25">
      <c r="A112" t="s">
        <v>35</v>
      </c>
      <c r="B112">
        <v>2016</v>
      </c>
      <c r="C112" t="s">
        <v>31</v>
      </c>
      <c r="D112" s="2">
        <v>42370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v>135.19999999999999</v>
      </c>
      <c r="S112">
        <v>130.30000000000001</v>
      </c>
      <c r="T112">
        <v>125.1</v>
      </c>
      <c r="U112">
        <v>129.5</v>
      </c>
      <c r="V112"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  <c r="AF112">
        <f>SUM(Table2[[#This Row],[Cereals and products]:[Food and beverages]])</f>
        <v>1691.7</v>
      </c>
      <c r="AG112">
        <f>SUM(Table2[[#This Row],[Housing]:[Household goods and services]],Table2[[#This Row],[Transport and communication]],Table2[[#This Row],[Education]])</f>
        <v>607.69999999999993</v>
      </c>
      <c r="AH112">
        <f>SUM(Table2[[#This Row],[Clothing]:[Clothing and footwear]])</f>
        <v>384.9</v>
      </c>
      <c r="AI112">
        <f>SUM(Table2[[#This Row],[Pan, tobacco and intoxicants]],Table2[[#This Row],[Recreation and amusement]],Table2[[#This Row],[Personal care and effects]])</f>
        <v>369.5</v>
      </c>
    </row>
    <row r="113" spans="1:35" x14ac:dyDescent="0.25">
      <c r="A113" t="s">
        <v>30</v>
      </c>
      <c r="B113">
        <v>2016</v>
      </c>
      <c r="C113" t="s">
        <v>36</v>
      </c>
      <c r="D113" s="2">
        <v>42401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v>134.4</v>
      </c>
      <c r="S113">
        <v>133.9</v>
      </c>
      <c r="T113">
        <v>129.80000000000001</v>
      </c>
      <c r="U113">
        <v>133.4</v>
      </c>
      <c r="V113">
        <v>124.4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  <c r="AF113">
        <f>SUM(Table2[[#This Row],[Cereals and products]:[Food and beverages]])</f>
        <v>1682.6</v>
      </c>
      <c r="AG113">
        <f>SUM(Table2[[#This Row],[Housing]:[Household goods and services]],Table2[[#This Row],[Transport and communication]],Table2[[#This Row],[Education]])</f>
        <v>620</v>
      </c>
      <c r="AH113">
        <f>SUM(Table2[[#This Row],[Clothing]:[Clothing and footwear]])</f>
        <v>397.1</v>
      </c>
      <c r="AI113">
        <f>SUM(Table2[[#This Row],[Pan, tobacco and intoxicants]],Table2[[#This Row],[Recreation and amusement]],Table2[[#This Row],[Personal care and effects]])</f>
        <v>373.5</v>
      </c>
    </row>
    <row r="114" spans="1:35" x14ac:dyDescent="0.25">
      <c r="A114" t="s">
        <v>33</v>
      </c>
      <c r="B114">
        <v>2016</v>
      </c>
      <c r="C114" t="s">
        <v>36</v>
      </c>
      <c r="D114" s="2">
        <v>42401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v>140</v>
      </c>
      <c r="S114">
        <v>126.2</v>
      </c>
      <c r="T114">
        <v>120.1</v>
      </c>
      <c r="U114">
        <v>125.3</v>
      </c>
      <c r="V114"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  <c r="AF114">
        <f>SUM(Table2[[#This Row],[Cereals and products]:[Food and beverages]])</f>
        <v>1676.1</v>
      </c>
      <c r="AG114">
        <f>SUM(Table2[[#This Row],[Housing]:[Household goods and services]],Table2[[#This Row],[Transport and communication]],Table2[[#This Row],[Education]])</f>
        <v>597.59999999999991</v>
      </c>
      <c r="AH114">
        <f>SUM(Table2[[#This Row],[Clothing]:[Clothing and footwear]])</f>
        <v>371.6</v>
      </c>
      <c r="AI114">
        <f>SUM(Table2[[#This Row],[Pan, tobacco and intoxicants]],Table2[[#This Row],[Recreation and amusement]],Table2[[#This Row],[Personal care and effects]])</f>
        <v>375</v>
      </c>
    </row>
    <row r="115" spans="1:35" x14ac:dyDescent="0.25">
      <c r="A115" t="s">
        <v>35</v>
      </c>
      <c r="B115">
        <v>2016</v>
      </c>
      <c r="C115" t="s">
        <v>36</v>
      </c>
      <c r="D115" s="2">
        <v>42401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v>135.9</v>
      </c>
      <c r="S115">
        <v>130.9</v>
      </c>
      <c r="T115">
        <v>125.8</v>
      </c>
      <c r="U115">
        <v>130.19999999999999</v>
      </c>
      <c r="V115"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  <c r="AF115">
        <f>SUM(Table2[[#This Row],[Cereals and products]:[Food and beverages]])</f>
        <v>1678.1</v>
      </c>
      <c r="AG115">
        <f>SUM(Table2[[#This Row],[Housing]:[Household goods and services]],Table2[[#This Row],[Transport and communication]],Table2[[#This Row],[Education]])</f>
        <v>610.1</v>
      </c>
      <c r="AH115">
        <f>SUM(Table2[[#This Row],[Clothing]:[Clothing and footwear]])</f>
        <v>386.9</v>
      </c>
      <c r="AI115">
        <f>SUM(Table2[[#This Row],[Pan, tobacco and intoxicants]],Table2[[#This Row],[Recreation and amusement]],Table2[[#This Row],[Personal care and effects]])</f>
        <v>372.79999999999995</v>
      </c>
    </row>
    <row r="116" spans="1:35" x14ac:dyDescent="0.25">
      <c r="A116" t="s">
        <v>30</v>
      </c>
      <c r="B116">
        <v>2016</v>
      </c>
      <c r="C116" t="s">
        <v>38</v>
      </c>
      <c r="D116" s="2">
        <v>42430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v>135</v>
      </c>
      <c r="S116">
        <v>134.4</v>
      </c>
      <c r="T116">
        <v>130.19999999999999</v>
      </c>
      <c r="U116">
        <v>133.80000000000001</v>
      </c>
      <c r="V116">
        <v>124.9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  <c r="AF116">
        <f>SUM(Table2[[#This Row],[Cereals and products]:[Food and beverages]])</f>
        <v>1682.7000000000003</v>
      </c>
      <c r="AG116">
        <f>SUM(Table2[[#This Row],[Housing]:[Household goods and services]],Table2[[#This Row],[Transport and communication]],Table2[[#This Row],[Education]])</f>
        <v>620.70000000000005</v>
      </c>
      <c r="AH116">
        <f>SUM(Table2[[#This Row],[Clothing]:[Clothing and footwear]])</f>
        <v>398.40000000000003</v>
      </c>
      <c r="AI116">
        <f>SUM(Table2[[#This Row],[Pan, tobacco and intoxicants]],Table2[[#This Row],[Recreation and amusement]],Table2[[#This Row],[Personal care and effects]])</f>
        <v>374.9</v>
      </c>
    </row>
    <row r="117" spans="1:35" x14ac:dyDescent="0.25">
      <c r="A117" t="s">
        <v>33</v>
      </c>
      <c r="B117">
        <v>2016</v>
      </c>
      <c r="C117" t="s">
        <v>38</v>
      </c>
      <c r="D117" s="2">
        <v>42430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v>140.6</v>
      </c>
      <c r="S117">
        <v>126.4</v>
      </c>
      <c r="T117">
        <v>120.3</v>
      </c>
      <c r="U117">
        <v>125.5</v>
      </c>
      <c r="V117"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  <c r="AF117">
        <f>SUM(Table2[[#This Row],[Cereals and products]:[Food and beverages]])</f>
        <v>1667.6000000000001</v>
      </c>
      <c r="AG117">
        <f>SUM(Table2[[#This Row],[Housing]:[Household goods and services]],Table2[[#This Row],[Transport and communication]],Table2[[#This Row],[Education]])</f>
        <v>596.9</v>
      </c>
      <c r="AH117">
        <f>SUM(Table2[[#This Row],[Clothing]:[Clothing and footwear]])</f>
        <v>372.2</v>
      </c>
      <c r="AI117">
        <f>SUM(Table2[[#This Row],[Pan, tobacco and intoxicants]],Table2[[#This Row],[Recreation and amusement]],Table2[[#This Row],[Personal care and effects]])</f>
        <v>376.79999999999995</v>
      </c>
    </row>
    <row r="118" spans="1:35" x14ac:dyDescent="0.25">
      <c r="A118" t="s">
        <v>35</v>
      </c>
      <c r="B118">
        <v>2016</v>
      </c>
      <c r="C118" t="s">
        <v>38</v>
      </c>
      <c r="D118" s="2">
        <v>42430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v>136.5</v>
      </c>
      <c r="S118">
        <v>131.30000000000001</v>
      </c>
      <c r="T118">
        <v>126.1</v>
      </c>
      <c r="U118">
        <v>130.5</v>
      </c>
      <c r="V118"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  <c r="AF118">
        <f>SUM(Table2[[#This Row],[Cereals and products]:[Food and beverages]])</f>
        <v>1675.2</v>
      </c>
      <c r="AG118">
        <f>SUM(Table2[[#This Row],[Housing]:[Household goods and services]],Table2[[#This Row],[Transport and communication]],Table2[[#This Row],[Education]])</f>
        <v>610.19999999999993</v>
      </c>
      <c r="AH118">
        <f>SUM(Table2[[#This Row],[Clothing]:[Clothing and footwear]])</f>
        <v>387.9</v>
      </c>
      <c r="AI118">
        <f>SUM(Table2[[#This Row],[Pan, tobacco and intoxicants]],Table2[[#This Row],[Recreation and amusement]],Table2[[#This Row],[Personal care and effects]])</f>
        <v>374.40000000000003</v>
      </c>
    </row>
    <row r="119" spans="1:35" x14ac:dyDescent="0.25">
      <c r="A119" t="s">
        <v>30</v>
      </c>
      <c r="B119">
        <v>2016</v>
      </c>
      <c r="C119" t="s">
        <v>39</v>
      </c>
      <c r="D119" s="2">
        <v>42461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v>135.5</v>
      </c>
      <c r="S119">
        <v>135</v>
      </c>
      <c r="T119">
        <v>130.6</v>
      </c>
      <c r="U119">
        <v>134.4</v>
      </c>
      <c r="V119">
        <v>125.6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  <c r="AF119">
        <f>SUM(Table2[[#This Row],[Cereals and products]:[Food and beverages]])</f>
        <v>1701.6000000000004</v>
      </c>
      <c r="AG119">
        <f>SUM(Table2[[#This Row],[Housing]:[Household goods and services]],Table2[[#This Row],[Transport and communication]],Table2[[#This Row],[Education]])</f>
        <v>622.9</v>
      </c>
      <c r="AH119">
        <f>SUM(Table2[[#This Row],[Clothing]:[Clothing and footwear]])</f>
        <v>400</v>
      </c>
      <c r="AI119">
        <f>SUM(Table2[[#This Row],[Pan, tobacco and intoxicants]],Table2[[#This Row],[Recreation and amusement]],Table2[[#This Row],[Personal care and effects]])</f>
        <v>377.1</v>
      </c>
    </row>
    <row r="120" spans="1:35" x14ac:dyDescent="0.25">
      <c r="A120" t="s">
        <v>33</v>
      </c>
      <c r="B120">
        <v>2016</v>
      </c>
      <c r="C120" t="s">
        <v>39</v>
      </c>
      <c r="D120" s="2">
        <v>42461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v>141.5</v>
      </c>
      <c r="S120">
        <v>126.8</v>
      </c>
      <c r="T120">
        <v>120.5</v>
      </c>
      <c r="U120">
        <v>125.8</v>
      </c>
      <c r="V120"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  <c r="AF120">
        <f>SUM(Table2[[#This Row],[Cereals and products]:[Food and beverages]])</f>
        <v>1706.3</v>
      </c>
      <c r="AG120">
        <f>SUM(Table2[[#This Row],[Housing]:[Household goods and services]],Table2[[#This Row],[Transport and communication]],Table2[[#This Row],[Education]])</f>
        <v>600.6</v>
      </c>
      <c r="AH120">
        <f>SUM(Table2[[#This Row],[Clothing]:[Clothing and footwear]])</f>
        <v>373.1</v>
      </c>
      <c r="AI120">
        <f>SUM(Table2[[#This Row],[Pan, tobacco and intoxicants]],Table2[[#This Row],[Recreation and amusement]],Table2[[#This Row],[Personal care and effects]])</f>
        <v>378.6</v>
      </c>
    </row>
    <row r="121" spans="1:35" x14ac:dyDescent="0.25">
      <c r="A121" t="s">
        <v>35</v>
      </c>
      <c r="B121">
        <v>2016</v>
      </c>
      <c r="C121" t="s">
        <v>39</v>
      </c>
      <c r="D121" s="2">
        <v>42461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v>137.1</v>
      </c>
      <c r="S121">
        <v>131.80000000000001</v>
      </c>
      <c r="T121">
        <v>126.4</v>
      </c>
      <c r="U121">
        <v>131</v>
      </c>
      <c r="V121"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  <c r="AF121">
        <f>SUM(Table2[[#This Row],[Cereals and products]:[Food and beverages]])</f>
        <v>1701.3</v>
      </c>
      <c r="AG121">
        <f>SUM(Table2[[#This Row],[Housing]:[Household goods and services]],Table2[[#This Row],[Transport and communication]],Table2[[#This Row],[Education]])</f>
        <v>613.20000000000005</v>
      </c>
      <c r="AH121">
        <f>SUM(Table2[[#This Row],[Clothing]:[Clothing and footwear]])</f>
        <v>389.20000000000005</v>
      </c>
      <c r="AI121">
        <f>SUM(Table2[[#This Row],[Pan, tobacco and intoxicants]],Table2[[#This Row],[Recreation and amusement]],Table2[[#This Row],[Personal care and effects]])</f>
        <v>376.29999999999995</v>
      </c>
    </row>
    <row r="122" spans="1:35" x14ac:dyDescent="0.25">
      <c r="A122" t="s">
        <v>30</v>
      </c>
      <c r="B122">
        <v>2016</v>
      </c>
      <c r="C122" t="s">
        <v>41</v>
      </c>
      <c r="D122" s="2">
        <v>42491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v>136</v>
      </c>
      <c r="S122">
        <v>135.4</v>
      </c>
      <c r="T122">
        <v>131.1</v>
      </c>
      <c r="U122">
        <v>134.80000000000001</v>
      </c>
      <c r="V122">
        <v>126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  <c r="AF122">
        <f>SUM(Table2[[#This Row],[Cereals and products]:[Food and beverages]])</f>
        <v>1723.6999999999998</v>
      </c>
      <c r="AG122">
        <f>SUM(Table2[[#This Row],[Housing]:[Household goods and services]],Table2[[#This Row],[Transport and communication]],Table2[[#This Row],[Education]])</f>
        <v>626.1</v>
      </c>
      <c r="AH122">
        <f>SUM(Table2[[#This Row],[Clothing]:[Clothing and footwear]])</f>
        <v>401.3</v>
      </c>
      <c r="AI122">
        <f>SUM(Table2[[#This Row],[Pan, tobacco and intoxicants]],Table2[[#This Row],[Recreation and amusement]],Table2[[#This Row],[Personal care and effects]])</f>
        <v>379.3</v>
      </c>
    </row>
    <row r="123" spans="1:35" x14ac:dyDescent="0.25">
      <c r="A123" t="s">
        <v>33</v>
      </c>
      <c r="B123">
        <v>2016</v>
      </c>
      <c r="C123" t="s">
        <v>41</v>
      </c>
      <c r="D123" s="2">
        <v>42491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v>142.19999999999999</v>
      </c>
      <c r="S123">
        <v>127.2</v>
      </c>
      <c r="T123">
        <v>120.7</v>
      </c>
      <c r="U123">
        <v>126.2</v>
      </c>
      <c r="V123"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  <c r="AF123">
        <f>SUM(Table2[[#This Row],[Cereals and products]:[Food and beverages]])</f>
        <v>1746.7999999999997</v>
      </c>
      <c r="AG123">
        <f>SUM(Table2[[#This Row],[Housing]:[Household goods and services]],Table2[[#This Row],[Transport and communication]],Table2[[#This Row],[Education]])</f>
        <v>602.9</v>
      </c>
      <c r="AH123">
        <f>SUM(Table2[[#This Row],[Clothing]:[Clothing and footwear]])</f>
        <v>374.1</v>
      </c>
      <c r="AI123">
        <f>SUM(Table2[[#This Row],[Pan, tobacco and intoxicants]],Table2[[#This Row],[Recreation and amusement]],Table2[[#This Row],[Personal care and effects]])</f>
        <v>380.5</v>
      </c>
    </row>
    <row r="124" spans="1:35" x14ac:dyDescent="0.25">
      <c r="A124" t="s">
        <v>35</v>
      </c>
      <c r="B124">
        <v>2016</v>
      </c>
      <c r="C124" t="s">
        <v>41</v>
      </c>
      <c r="D124" s="2">
        <v>42491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v>137.69999999999999</v>
      </c>
      <c r="S124">
        <v>132.19999999999999</v>
      </c>
      <c r="T124">
        <v>126.8</v>
      </c>
      <c r="U124">
        <v>131.4</v>
      </c>
      <c r="V124"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  <c r="AF124">
        <f>SUM(Table2[[#This Row],[Cereals and products]:[Food and beverages]])</f>
        <v>1730.4</v>
      </c>
      <c r="AG124">
        <f>SUM(Table2[[#This Row],[Housing]:[Household goods and services]],Table2[[#This Row],[Transport and communication]],Table2[[#This Row],[Education]])</f>
        <v>616</v>
      </c>
      <c r="AH124">
        <f>SUM(Table2[[#This Row],[Clothing]:[Clothing and footwear]])</f>
        <v>390.4</v>
      </c>
      <c r="AI124">
        <f>SUM(Table2[[#This Row],[Pan, tobacco and intoxicants]],Table2[[#This Row],[Recreation and amusement]],Table2[[#This Row],[Personal care and effects]])</f>
        <v>378.4</v>
      </c>
    </row>
    <row r="125" spans="1:35" x14ac:dyDescent="0.25">
      <c r="A125" t="s">
        <v>30</v>
      </c>
      <c r="B125">
        <v>2016</v>
      </c>
      <c r="C125" t="s">
        <v>42</v>
      </c>
      <c r="D125" s="2">
        <v>42522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v>137.19999999999999</v>
      </c>
      <c r="S125">
        <v>136.30000000000001</v>
      </c>
      <c r="T125">
        <v>131.6</v>
      </c>
      <c r="U125">
        <v>135.6</v>
      </c>
      <c r="V125">
        <v>125.5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  <c r="AF125">
        <f>SUM(Table2[[#This Row],[Cereals and products]:[Food and beverages]])</f>
        <v>1748.6</v>
      </c>
      <c r="AG125">
        <f>SUM(Table2[[#This Row],[Housing]:[Household goods and services]],Table2[[#This Row],[Transport and communication]],Table2[[#This Row],[Education]])</f>
        <v>629.29999999999995</v>
      </c>
      <c r="AH125">
        <f>SUM(Table2[[#This Row],[Clothing]:[Clothing and footwear]])</f>
        <v>403.5</v>
      </c>
      <c r="AI125">
        <f>SUM(Table2[[#This Row],[Pan, tobacco and intoxicants]],Table2[[#This Row],[Recreation and amusement]],Table2[[#This Row],[Personal care and effects]])</f>
        <v>381.19999999999993</v>
      </c>
    </row>
    <row r="126" spans="1:35" x14ac:dyDescent="0.25">
      <c r="A126" t="s">
        <v>33</v>
      </c>
      <c r="B126">
        <v>2016</v>
      </c>
      <c r="C126" t="s">
        <v>42</v>
      </c>
      <c r="D126" s="2">
        <v>42522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v>142.69999999999999</v>
      </c>
      <c r="S126">
        <v>127.6</v>
      </c>
      <c r="T126">
        <v>121.1</v>
      </c>
      <c r="U126">
        <v>126.6</v>
      </c>
      <c r="V126"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  <c r="AF126">
        <f>SUM(Table2[[#This Row],[Cereals and products]:[Food and beverages]])</f>
        <v>1787.0000000000002</v>
      </c>
      <c r="AG126">
        <f>SUM(Table2[[#This Row],[Housing]:[Household goods and services]],Table2[[#This Row],[Transport and communication]],Table2[[#This Row],[Education]])</f>
        <v>605.79999999999995</v>
      </c>
      <c r="AH126">
        <f>SUM(Table2[[#This Row],[Clothing]:[Clothing and footwear]])</f>
        <v>375.29999999999995</v>
      </c>
      <c r="AI126">
        <f>SUM(Table2[[#This Row],[Pan, tobacco and intoxicants]],Table2[[#This Row],[Recreation and amusement]],Table2[[#This Row],[Personal care and effects]])</f>
        <v>381.40000000000003</v>
      </c>
    </row>
    <row r="127" spans="1:35" x14ac:dyDescent="0.25">
      <c r="A127" t="s">
        <v>35</v>
      </c>
      <c r="B127">
        <v>2016</v>
      </c>
      <c r="C127" t="s">
        <v>42</v>
      </c>
      <c r="D127" s="2">
        <v>42522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v>138.69999999999999</v>
      </c>
      <c r="S127">
        <v>132.9</v>
      </c>
      <c r="T127">
        <v>127.2</v>
      </c>
      <c r="U127">
        <v>132</v>
      </c>
      <c r="V127"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  <c r="AF127">
        <f>SUM(Table2[[#This Row],[Cereals and products]:[Food and beverages]])</f>
        <v>1760.6</v>
      </c>
      <c r="AG127">
        <f>SUM(Table2[[#This Row],[Housing]:[Household goods and services]],Table2[[#This Row],[Transport and communication]],Table2[[#This Row],[Education]])</f>
        <v>619.1</v>
      </c>
      <c r="AH127">
        <f>SUM(Table2[[#This Row],[Clothing]:[Clothing and footwear]])</f>
        <v>392.1</v>
      </c>
      <c r="AI127">
        <f>SUM(Table2[[#This Row],[Pan, tobacco and intoxicants]],Table2[[#This Row],[Recreation and amusement]],Table2[[#This Row],[Personal care and effects]])</f>
        <v>379.79999999999995</v>
      </c>
    </row>
    <row r="128" spans="1:35" x14ac:dyDescent="0.25">
      <c r="A128" t="s">
        <v>30</v>
      </c>
      <c r="B128">
        <v>2016</v>
      </c>
      <c r="C128" t="s">
        <v>44</v>
      </c>
      <c r="D128" s="2">
        <v>42552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v>138</v>
      </c>
      <c r="S128">
        <v>137.19999999999999</v>
      </c>
      <c r="T128">
        <v>132.19999999999999</v>
      </c>
      <c r="U128">
        <v>136.5</v>
      </c>
      <c r="V128">
        <v>126.4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  <c r="AF128">
        <f>SUM(Table2[[#This Row],[Cereals and products]:[Food and beverages]])</f>
        <v>1770.2999999999997</v>
      </c>
      <c r="AG128">
        <f>SUM(Table2[[#This Row],[Housing]:[Household goods and services]],Table2[[#This Row],[Transport and communication]],Table2[[#This Row],[Education]])</f>
        <v>631.79999999999995</v>
      </c>
      <c r="AH128">
        <f>SUM(Table2[[#This Row],[Clothing]:[Clothing and footwear]])</f>
        <v>405.9</v>
      </c>
      <c r="AI128">
        <f>SUM(Table2[[#This Row],[Pan, tobacco and intoxicants]],Table2[[#This Row],[Recreation and amusement]],Table2[[#This Row],[Personal care and effects]])</f>
        <v>384.1</v>
      </c>
    </row>
    <row r="129" spans="1:35" x14ac:dyDescent="0.25">
      <c r="A129" t="s">
        <v>33</v>
      </c>
      <c r="B129">
        <v>2016</v>
      </c>
      <c r="C129" t="s">
        <v>44</v>
      </c>
      <c r="D129" s="2">
        <v>42552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v>142.9</v>
      </c>
      <c r="S129">
        <v>127.9</v>
      </c>
      <c r="T129">
        <v>121.1</v>
      </c>
      <c r="U129">
        <v>126.9</v>
      </c>
      <c r="V129"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  <c r="AF129">
        <f>SUM(Table2[[#This Row],[Cereals and products]:[Food and beverages]])</f>
        <v>1811.5000000000002</v>
      </c>
      <c r="AG129">
        <f>SUM(Table2[[#This Row],[Housing]:[Household goods and services]],Table2[[#This Row],[Transport and communication]],Table2[[#This Row],[Education]])</f>
        <v>607.9</v>
      </c>
      <c r="AH129">
        <f>SUM(Table2[[#This Row],[Clothing]:[Clothing and footwear]])</f>
        <v>375.9</v>
      </c>
      <c r="AI129">
        <f>SUM(Table2[[#This Row],[Pan, tobacco and intoxicants]],Table2[[#This Row],[Recreation and amusement]],Table2[[#This Row],[Personal care and effects]])</f>
        <v>383.2</v>
      </c>
    </row>
    <row r="130" spans="1:35" x14ac:dyDescent="0.25">
      <c r="A130" t="s">
        <v>35</v>
      </c>
      <c r="B130">
        <v>2016</v>
      </c>
      <c r="C130" t="s">
        <v>44</v>
      </c>
      <c r="D130" s="2">
        <v>42552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v>139.30000000000001</v>
      </c>
      <c r="S130">
        <v>133.5</v>
      </c>
      <c r="T130">
        <v>127.6</v>
      </c>
      <c r="U130">
        <v>132.69999999999999</v>
      </c>
      <c r="V130"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  <c r="AF130">
        <f>SUM(Table2[[#This Row],[Cereals and products]:[Food and beverages]])</f>
        <v>1783.5</v>
      </c>
      <c r="AG130">
        <f>SUM(Table2[[#This Row],[Housing]:[Household goods and services]],Table2[[#This Row],[Transport and communication]],Table2[[#This Row],[Education]])</f>
        <v>621.40000000000009</v>
      </c>
      <c r="AH130">
        <f>SUM(Table2[[#This Row],[Clothing]:[Clothing and footwear]])</f>
        <v>393.8</v>
      </c>
      <c r="AI130">
        <f>SUM(Table2[[#This Row],[Pan, tobacco and intoxicants]],Table2[[#This Row],[Recreation and amusement]],Table2[[#This Row],[Personal care and effects]])</f>
        <v>382.20000000000005</v>
      </c>
    </row>
    <row r="131" spans="1:35" x14ac:dyDescent="0.25">
      <c r="A131" t="s">
        <v>30</v>
      </c>
      <c r="B131">
        <v>2016</v>
      </c>
      <c r="C131" t="s">
        <v>46</v>
      </c>
      <c r="D131" s="2">
        <v>42583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v>138.9</v>
      </c>
      <c r="S131">
        <v>137.80000000000001</v>
      </c>
      <c r="T131">
        <v>133</v>
      </c>
      <c r="U131">
        <v>137.1</v>
      </c>
      <c r="V131">
        <v>127.3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  <c r="AF131">
        <f>SUM(Table2[[#This Row],[Cereals and products]:[Food and beverages]])</f>
        <v>1777.4999999999998</v>
      </c>
      <c r="AG131">
        <f>SUM(Table2[[#This Row],[Housing]:[Household goods and services]],Table2[[#This Row],[Transport and communication]],Table2[[#This Row],[Education]])</f>
        <v>634.9</v>
      </c>
      <c r="AH131">
        <f>SUM(Table2[[#This Row],[Clothing]:[Clothing and footwear]])</f>
        <v>407.9</v>
      </c>
      <c r="AI131">
        <f>SUM(Table2[[#This Row],[Pan, tobacco and intoxicants]],Table2[[#This Row],[Recreation and amusement]],Table2[[#This Row],[Personal care and effects]])</f>
        <v>386.4</v>
      </c>
    </row>
    <row r="132" spans="1:35" x14ac:dyDescent="0.25">
      <c r="A132" t="s">
        <v>33</v>
      </c>
      <c r="B132">
        <v>2016</v>
      </c>
      <c r="C132" t="s">
        <v>46</v>
      </c>
      <c r="D132" s="2">
        <v>42583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v>143.6</v>
      </c>
      <c r="S132">
        <v>128.30000000000001</v>
      </c>
      <c r="T132">
        <v>121.4</v>
      </c>
      <c r="U132">
        <v>127.3</v>
      </c>
      <c r="V132"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  <c r="AF132">
        <f>SUM(Table2[[#This Row],[Cereals and products]:[Food and beverages]])</f>
        <v>1783.9999999999995</v>
      </c>
      <c r="AG132">
        <f>SUM(Table2[[#This Row],[Housing]:[Household goods and services]],Table2[[#This Row],[Transport and communication]],Table2[[#This Row],[Education]])</f>
        <v>607.79999999999995</v>
      </c>
      <c r="AH132">
        <f>SUM(Table2[[#This Row],[Clothing]:[Clothing and footwear]])</f>
        <v>377</v>
      </c>
      <c r="AI132">
        <f>SUM(Table2[[#This Row],[Pan, tobacco and intoxicants]],Table2[[#This Row],[Recreation and amusement]],Table2[[#This Row],[Personal care and effects]])</f>
        <v>385.1</v>
      </c>
    </row>
    <row r="133" spans="1:35" x14ac:dyDescent="0.25">
      <c r="A133" t="s">
        <v>35</v>
      </c>
      <c r="B133">
        <v>2016</v>
      </c>
      <c r="C133" t="s">
        <v>46</v>
      </c>
      <c r="D133" s="2">
        <v>42583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v>140.19999999999999</v>
      </c>
      <c r="S133">
        <v>134.1</v>
      </c>
      <c r="T133">
        <v>128.19999999999999</v>
      </c>
      <c r="U133">
        <v>133.19999999999999</v>
      </c>
      <c r="V133"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  <c r="AF133">
        <f>SUM(Table2[[#This Row],[Cereals and products]:[Food and beverages]])</f>
        <v>1777.9</v>
      </c>
      <c r="AG133">
        <f>SUM(Table2[[#This Row],[Housing]:[Household goods and services]],Table2[[#This Row],[Transport and communication]],Table2[[#This Row],[Education]])</f>
        <v>623.09999999999991</v>
      </c>
      <c r="AH133">
        <f>SUM(Table2[[#This Row],[Clothing]:[Clothing and footwear]])</f>
        <v>395.49999999999994</v>
      </c>
      <c r="AI133">
        <f>SUM(Table2[[#This Row],[Pan, tobacco and intoxicants]],Table2[[#This Row],[Recreation and amusement]],Table2[[#This Row],[Personal care and effects]])</f>
        <v>384.4</v>
      </c>
    </row>
    <row r="134" spans="1:35" x14ac:dyDescent="0.25">
      <c r="A134" t="s">
        <v>30</v>
      </c>
      <c r="B134">
        <v>2016</v>
      </c>
      <c r="C134" t="s">
        <v>48</v>
      </c>
      <c r="D134" s="2">
        <v>42614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v>139.9</v>
      </c>
      <c r="S134">
        <v>138.5</v>
      </c>
      <c r="T134">
        <v>133.5</v>
      </c>
      <c r="U134">
        <v>137.80000000000001</v>
      </c>
      <c r="V134">
        <v>127.9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  <c r="AF134">
        <f>SUM(Table2[[#This Row],[Cereals and products]:[Food and beverages]])</f>
        <v>1770.7</v>
      </c>
      <c r="AG134">
        <f>SUM(Table2[[#This Row],[Housing]:[Household goods and services]],Table2[[#This Row],[Transport and communication]],Table2[[#This Row],[Education]])</f>
        <v>637.90000000000009</v>
      </c>
      <c r="AH134">
        <f>SUM(Table2[[#This Row],[Clothing]:[Clothing and footwear]])</f>
        <v>409.8</v>
      </c>
      <c r="AI134">
        <f>SUM(Table2[[#This Row],[Pan, tobacco and intoxicants]],Table2[[#This Row],[Recreation and amusement]],Table2[[#This Row],[Personal care and effects]])</f>
        <v>388.40000000000003</v>
      </c>
    </row>
    <row r="135" spans="1:35" x14ac:dyDescent="0.25">
      <c r="A135" t="s">
        <v>33</v>
      </c>
      <c r="B135">
        <v>2016</v>
      </c>
      <c r="C135" t="s">
        <v>48</v>
      </c>
      <c r="D135" s="2">
        <v>42614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v>143.9</v>
      </c>
      <c r="S135">
        <v>128.69999999999999</v>
      </c>
      <c r="T135">
        <v>121.6</v>
      </c>
      <c r="U135">
        <v>127.7</v>
      </c>
      <c r="V135"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  <c r="AF135">
        <f>SUM(Table2[[#This Row],[Cereals and products]:[Food and beverages]])</f>
        <v>1756.3999999999996</v>
      </c>
      <c r="AG135">
        <f>SUM(Table2[[#This Row],[Housing]:[Household goods and services]],Table2[[#This Row],[Transport and communication]],Table2[[#This Row],[Education]])</f>
        <v>610.4</v>
      </c>
      <c r="AH135">
        <f>SUM(Table2[[#This Row],[Clothing]:[Clothing and footwear]])</f>
        <v>378</v>
      </c>
      <c r="AI135">
        <f>SUM(Table2[[#This Row],[Pan, tobacco and intoxicants]],Table2[[#This Row],[Recreation and amusement]],Table2[[#This Row],[Personal care and effects]])</f>
        <v>385.9</v>
      </c>
    </row>
    <row r="136" spans="1:35" x14ac:dyDescent="0.25">
      <c r="A136" t="s">
        <v>35</v>
      </c>
      <c r="B136">
        <v>2016</v>
      </c>
      <c r="C136" t="s">
        <v>48</v>
      </c>
      <c r="D136" s="2">
        <v>42614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v>141</v>
      </c>
      <c r="S136">
        <v>134.6</v>
      </c>
      <c r="T136">
        <v>128.6</v>
      </c>
      <c r="U136">
        <v>133.80000000000001</v>
      </c>
      <c r="V136"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  <c r="AF136">
        <f>SUM(Table2[[#This Row],[Cereals and products]:[Food and beverages]])</f>
        <v>1763.6999999999998</v>
      </c>
      <c r="AG136">
        <f>SUM(Table2[[#This Row],[Housing]:[Household goods and services]],Table2[[#This Row],[Transport and communication]],Table2[[#This Row],[Education]])</f>
        <v>626</v>
      </c>
      <c r="AH136">
        <f>SUM(Table2[[#This Row],[Clothing]:[Clothing and footwear]])</f>
        <v>397</v>
      </c>
      <c r="AI136">
        <f>SUM(Table2[[#This Row],[Pan, tobacco and intoxicants]],Table2[[#This Row],[Recreation and amusement]],Table2[[#This Row],[Personal care and effects]])</f>
        <v>386</v>
      </c>
    </row>
    <row r="137" spans="1:35" x14ac:dyDescent="0.25">
      <c r="A137" t="s">
        <v>30</v>
      </c>
      <c r="B137">
        <v>2016</v>
      </c>
      <c r="C137" t="s">
        <v>50</v>
      </c>
      <c r="D137" s="2">
        <v>42644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v>140.9</v>
      </c>
      <c r="S137">
        <v>139.6</v>
      </c>
      <c r="T137">
        <v>134.30000000000001</v>
      </c>
      <c r="U137">
        <v>138.80000000000001</v>
      </c>
      <c r="V137">
        <v>128.69999999999999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  <c r="AF137">
        <f>SUM(Table2[[#This Row],[Cereals and products]:[Food and beverages]])</f>
        <v>1771.8000000000002</v>
      </c>
      <c r="AG137">
        <f>SUM(Table2[[#This Row],[Housing]:[Household goods and services]],Table2[[#This Row],[Transport and communication]],Table2[[#This Row],[Education]])</f>
        <v>641.1</v>
      </c>
      <c r="AH137">
        <f>SUM(Table2[[#This Row],[Clothing]:[Clothing and footwear]])</f>
        <v>412.7</v>
      </c>
      <c r="AI137">
        <f>SUM(Table2[[#This Row],[Pan, tobacco and intoxicants]],Table2[[#This Row],[Recreation and amusement]],Table2[[#This Row],[Personal care and effects]])</f>
        <v>390.4</v>
      </c>
    </row>
    <row r="138" spans="1:35" x14ac:dyDescent="0.25">
      <c r="A138" t="s">
        <v>33</v>
      </c>
      <c r="B138">
        <v>2016</v>
      </c>
      <c r="C138" t="s">
        <v>50</v>
      </c>
      <c r="D138" s="2">
        <v>42644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v>144.30000000000001</v>
      </c>
      <c r="S138">
        <v>129.1</v>
      </c>
      <c r="T138">
        <v>121.9</v>
      </c>
      <c r="U138">
        <v>128</v>
      </c>
      <c r="V138"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  <c r="AF138">
        <f>SUM(Table2[[#This Row],[Cereals and products]:[Food and beverages]])</f>
        <v>1762.8999999999999</v>
      </c>
      <c r="AG138">
        <f>SUM(Table2[[#This Row],[Housing]:[Household goods and services]],Table2[[#This Row],[Transport and communication]],Table2[[#This Row],[Education]])</f>
        <v>613.1</v>
      </c>
      <c r="AH138">
        <f>SUM(Table2[[#This Row],[Clothing]:[Clothing and footwear]])</f>
        <v>379</v>
      </c>
      <c r="AI138">
        <f>SUM(Table2[[#This Row],[Pan, tobacco and intoxicants]],Table2[[#This Row],[Recreation and amusement]],Table2[[#This Row],[Personal care and effects]])</f>
        <v>386.3</v>
      </c>
    </row>
    <row r="139" spans="1:35" x14ac:dyDescent="0.25">
      <c r="A139" t="s">
        <v>35</v>
      </c>
      <c r="B139">
        <v>2016</v>
      </c>
      <c r="C139" t="s">
        <v>50</v>
      </c>
      <c r="D139" s="2">
        <v>42644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v>141.80000000000001</v>
      </c>
      <c r="S139">
        <v>135.5</v>
      </c>
      <c r="T139">
        <v>129.1</v>
      </c>
      <c r="U139">
        <v>134.5</v>
      </c>
      <c r="V139"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  <c r="AF139">
        <f>SUM(Table2[[#This Row],[Cereals and products]:[Food and beverages]])</f>
        <v>1766.7999999999995</v>
      </c>
      <c r="AG139">
        <f>SUM(Table2[[#This Row],[Housing]:[Household goods and services]],Table2[[#This Row],[Transport and communication]],Table2[[#This Row],[Education]])</f>
        <v>629</v>
      </c>
      <c r="AH139">
        <f>SUM(Table2[[#This Row],[Clothing]:[Clothing and footwear]])</f>
        <v>399.1</v>
      </c>
      <c r="AI139">
        <f>SUM(Table2[[#This Row],[Pan, tobacco and intoxicants]],Table2[[#This Row],[Recreation and amusement]],Table2[[#This Row],[Personal care and effects]])</f>
        <v>387.4</v>
      </c>
    </row>
    <row r="140" spans="1:35" x14ac:dyDescent="0.25">
      <c r="A140" t="s">
        <v>30</v>
      </c>
      <c r="B140">
        <v>2016</v>
      </c>
      <c r="C140" t="s">
        <v>53</v>
      </c>
      <c r="D140" s="2">
        <v>42675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v>141.19999999999999</v>
      </c>
      <c r="S140">
        <v>139.9</v>
      </c>
      <c r="T140">
        <v>134.5</v>
      </c>
      <c r="U140">
        <v>139.19999999999999</v>
      </c>
      <c r="V140">
        <v>129.1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  <c r="AF140">
        <f>SUM(Table2[[#This Row],[Cereals and products]:[Food and beverages]])</f>
        <v>1764.6</v>
      </c>
      <c r="AG140">
        <f>SUM(Table2[[#This Row],[Housing]:[Household goods and services]],Table2[[#This Row],[Transport and communication]],Table2[[#This Row],[Education]])</f>
        <v>643.4</v>
      </c>
      <c r="AH140">
        <f>SUM(Table2[[#This Row],[Clothing]:[Clothing and footwear]])</f>
        <v>413.59999999999997</v>
      </c>
      <c r="AI140">
        <f>SUM(Table2[[#This Row],[Pan, tobacco and intoxicants]],Table2[[#This Row],[Recreation and amusement]],Table2[[#This Row],[Personal care and effects]])</f>
        <v>391.6</v>
      </c>
    </row>
    <row r="141" spans="1:35" x14ac:dyDescent="0.25">
      <c r="A141" t="s">
        <v>33</v>
      </c>
      <c r="B141">
        <v>2016</v>
      </c>
      <c r="C141" t="s">
        <v>53</v>
      </c>
      <c r="D141" s="2">
        <v>42675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v>144.30000000000001</v>
      </c>
      <c r="S141">
        <v>129.6</v>
      </c>
      <c r="T141">
        <v>122.1</v>
      </c>
      <c r="U141">
        <v>128.5</v>
      </c>
      <c r="V141"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  <c r="AF141">
        <f>SUM(Table2[[#This Row],[Cereals and products]:[Food and beverages]])</f>
        <v>1755.2</v>
      </c>
      <c r="AG141">
        <f>SUM(Table2[[#This Row],[Housing]:[Household goods and services]],Table2[[#This Row],[Transport and communication]],Table2[[#This Row],[Education]])</f>
        <v>615.5</v>
      </c>
      <c r="AH141">
        <f>SUM(Table2[[#This Row],[Clothing]:[Clothing and footwear]])</f>
        <v>380.2</v>
      </c>
      <c r="AI141">
        <f>SUM(Table2[[#This Row],[Pan, tobacco and intoxicants]],Table2[[#This Row],[Recreation and amusement]],Table2[[#This Row],[Personal care and effects]])</f>
        <v>387.3</v>
      </c>
    </row>
    <row r="142" spans="1:35" x14ac:dyDescent="0.25">
      <c r="A142" t="s">
        <v>35</v>
      </c>
      <c r="B142">
        <v>2016</v>
      </c>
      <c r="C142" t="s">
        <v>53</v>
      </c>
      <c r="D142" s="2">
        <v>42675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v>142</v>
      </c>
      <c r="S142">
        <v>135.80000000000001</v>
      </c>
      <c r="T142">
        <v>129.30000000000001</v>
      </c>
      <c r="U142">
        <v>135</v>
      </c>
      <c r="V142"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  <c r="AF142">
        <f>SUM(Table2[[#This Row],[Cereals and products]:[Food and beverages]])</f>
        <v>1759.8</v>
      </c>
      <c r="AG142">
        <f>SUM(Table2[[#This Row],[Housing]:[Household goods and services]],Table2[[#This Row],[Transport and communication]],Table2[[#This Row],[Education]])</f>
        <v>631.20000000000005</v>
      </c>
      <c r="AH142">
        <f>SUM(Table2[[#This Row],[Clothing]:[Clothing and footwear]])</f>
        <v>400.1</v>
      </c>
      <c r="AI142">
        <f>SUM(Table2[[#This Row],[Pan, tobacco and intoxicants]],Table2[[#This Row],[Recreation and amusement]],Table2[[#This Row],[Personal care and effects]])</f>
        <v>388.6</v>
      </c>
    </row>
    <row r="143" spans="1:35" x14ac:dyDescent="0.25">
      <c r="A143" t="s">
        <v>30</v>
      </c>
      <c r="B143">
        <v>2016</v>
      </c>
      <c r="C143" t="s">
        <v>55</v>
      </c>
      <c r="D143" s="2">
        <v>42705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v>142.4</v>
      </c>
      <c r="S143">
        <v>140.4</v>
      </c>
      <c r="T143">
        <v>135.19999999999999</v>
      </c>
      <c r="U143">
        <v>139.69999999999999</v>
      </c>
      <c r="V143">
        <v>128.5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  <c r="AF143">
        <f>SUM(Table2[[#This Row],[Cereals and products]:[Food and beverages]])</f>
        <v>1749.1</v>
      </c>
      <c r="AG143">
        <f>SUM(Table2[[#This Row],[Housing]:[Household goods and services]],Table2[[#This Row],[Transport and communication]],Table2[[#This Row],[Education]])</f>
        <v>646.20000000000005</v>
      </c>
      <c r="AH143">
        <f>SUM(Table2[[#This Row],[Clothing]:[Clothing and footwear]])</f>
        <v>415.3</v>
      </c>
      <c r="AI143">
        <f>SUM(Table2[[#This Row],[Pan, tobacco and intoxicants]],Table2[[#This Row],[Recreation and amusement]],Table2[[#This Row],[Personal care and effects]])</f>
        <v>391.6</v>
      </c>
    </row>
    <row r="144" spans="1:35" x14ac:dyDescent="0.25">
      <c r="A144" t="s">
        <v>33</v>
      </c>
      <c r="B144">
        <v>2016</v>
      </c>
      <c r="C144" t="s">
        <v>55</v>
      </c>
      <c r="D144" s="2">
        <v>42705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v>145</v>
      </c>
      <c r="S144">
        <v>130</v>
      </c>
      <c r="T144">
        <v>122.2</v>
      </c>
      <c r="U144">
        <v>128.80000000000001</v>
      </c>
      <c r="V144"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  <c r="AF144">
        <f>SUM(Table2[[#This Row],[Cereals and products]:[Food and beverages]])</f>
        <v>1729.8</v>
      </c>
      <c r="AG144">
        <f>SUM(Table2[[#This Row],[Housing]:[Household goods and services]],Table2[[#This Row],[Transport and communication]],Table2[[#This Row],[Education]])</f>
        <v>617.29999999999995</v>
      </c>
      <c r="AH144">
        <f>SUM(Table2[[#This Row],[Clothing]:[Clothing and footwear]])</f>
        <v>381</v>
      </c>
      <c r="AI144">
        <f>SUM(Table2[[#This Row],[Pan, tobacco and intoxicants]],Table2[[#This Row],[Recreation and amusement]],Table2[[#This Row],[Personal care and effects]])</f>
        <v>386.70000000000005</v>
      </c>
    </row>
    <row r="145" spans="1:35" x14ac:dyDescent="0.25">
      <c r="A145" t="s">
        <v>35</v>
      </c>
      <c r="B145">
        <v>2016</v>
      </c>
      <c r="C145" t="s">
        <v>55</v>
      </c>
      <c r="D145" s="2">
        <v>42705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v>143.1</v>
      </c>
      <c r="S145">
        <v>136.30000000000001</v>
      </c>
      <c r="T145">
        <v>129.80000000000001</v>
      </c>
      <c r="U145">
        <v>135.4</v>
      </c>
      <c r="V145"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  <c r="AF145">
        <f>SUM(Table2[[#This Row],[Cereals and products]:[Food and beverages]])</f>
        <v>1740.7</v>
      </c>
      <c r="AG145">
        <f>SUM(Table2[[#This Row],[Housing]:[Household goods and services]],Table2[[#This Row],[Transport and communication]],Table2[[#This Row],[Education]])</f>
        <v>633.4</v>
      </c>
      <c r="AH145">
        <f>SUM(Table2[[#This Row],[Clothing]:[Clothing and footwear]])</f>
        <v>401.5</v>
      </c>
      <c r="AI145">
        <f>SUM(Table2[[#This Row],[Pan, tobacco and intoxicants]],Table2[[#This Row],[Recreation and amusement]],Table2[[#This Row],[Personal care and effects]])</f>
        <v>388.4</v>
      </c>
    </row>
    <row r="146" spans="1:35" x14ac:dyDescent="0.25">
      <c r="A146" t="s">
        <v>30</v>
      </c>
      <c r="B146">
        <v>2017</v>
      </c>
      <c r="C146" t="s">
        <v>31</v>
      </c>
      <c r="D146" s="2">
        <v>42736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v>143.1</v>
      </c>
      <c r="S146">
        <v>140.69999999999999</v>
      </c>
      <c r="T146">
        <v>135.80000000000001</v>
      </c>
      <c r="U146">
        <v>140</v>
      </c>
      <c r="V146">
        <v>129.6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  <c r="AF146">
        <f>SUM(Table2[[#This Row],[Cereals and products]:[Food and beverages]])</f>
        <v>1737.3000000000002</v>
      </c>
      <c r="AG146">
        <f>SUM(Table2[[#This Row],[Housing]:[Household goods and services]],Table2[[#This Row],[Transport and communication]],Table2[[#This Row],[Education]])</f>
        <v>648.6</v>
      </c>
      <c r="AH146">
        <f>SUM(Table2[[#This Row],[Clothing]:[Clothing and footwear]])</f>
        <v>416.5</v>
      </c>
      <c r="AI146">
        <f>SUM(Table2[[#This Row],[Pan, tobacco and intoxicants]],Table2[[#This Row],[Recreation and amusement]],Table2[[#This Row],[Personal care and effects]])</f>
        <v>392.40000000000003</v>
      </c>
    </row>
    <row r="147" spans="1:35" x14ac:dyDescent="0.25">
      <c r="A147" t="s">
        <v>33</v>
      </c>
      <c r="B147">
        <v>2017</v>
      </c>
      <c r="C147" t="s">
        <v>31</v>
      </c>
      <c r="D147" s="2">
        <v>42736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v>145.6</v>
      </c>
      <c r="S147">
        <v>130.19999999999999</v>
      </c>
      <c r="T147">
        <v>122.3</v>
      </c>
      <c r="U147">
        <v>129</v>
      </c>
      <c r="V147"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  <c r="AF147">
        <f>SUM(Table2[[#This Row],[Cereals and products]:[Food and beverages]])</f>
        <v>1713.2</v>
      </c>
      <c r="AG147">
        <f>SUM(Table2[[#This Row],[Housing]:[Household goods and services]],Table2[[#This Row],[Transport and communication]],Table2[[#This Row],[Education]])</f>
        <v>620.29999999999995</v>
      </c>
      <c r="AH147">
        <f>SUM(Table2[[#This Row],[Clothing]:[Clothing and footwear]])</f>
        <v>381.5</v>
      </c>
      <c r="AI147">
        <f>SUM(Table2[[#This Row],[Pan, tobacco and intoxicants]],Table2[[#This Row],[Recreation and amusement]],Table2[[#This Row],[Personal care and effects]])</f>
        <v>388.5</v>
      </c>
    </row>
    <row r="148" spans="1:35" x14ac:dyDescent="0.25">
      <c r="A148" t="s">
        <v>35</v>
      </c>
      <c r="B148">
        <v>2017</v>
      </c>
      <c r="C148" t="s">
        <v>31</v>
      </c>
      <c r="D148" s="2">
        <v>42736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v>143.80000000000001</v>
      </c>
      <c r="S148">
        <v>136.6</v>
      </c>
      <c r="T148">
        <v>130.19999999999999</v>
      </c>
      <c r="U148">
        <v>135.6</v>
      </c>
      <c r="V148"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  <c r="AF148">
        <f>SUM(Table2[[#This Row],[Cereals and products]:[Food and beverages]])</f>
        <v>1727.2999999999995</v>
      </c>
      <c r="AG148">
        <f>SUM(Table2[[#This Row],[Housing]:[Household goods and services]],Table2[[#This Row],[Transport and communication]],Table2[[#This Row],[Education]])</f>
        <v>636.09999999999991</v>
      </c>
      <c r="AH148">
        <f>SUM(Table2[[#This Row],[Clothing]:[Clothing and footwear]])</f>
        <v>402.4</v>
      </c>
      <c r="AI148">
        <f>SUM(Table2[[#This Row],[Pan, tobacco and intoxicants]],Table2[[#This Row],[Recreation and amusement]],Table2[[#This Row],[Personal care and effects]])</f>
        <v>389.7</v>
      </c>
    </row>
    <row r="149" spans="1:35" x14ac:dyDescent="0.25">
      <c r="A149" t="s">
        <v>30</v>
      </c>
      <c r="B149">
        <v>2017</v>
      </c>
      <c r="C149" t="s">
        <v>36</v>
      </c>
      <c r="D149" s="2">
        <v>42767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v>143.69999999999999</v>
      </c>
      <c r="S149">
        <v>140.9</v>
      </c>
      <c r="T149">
        <v>135.80000000000001</v>
      </c>
      <c r="U149">
        <v>140.19999999999999</v>
      </c>
      <c r="V149">
        <v>130.5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  <c r="AF149">
        <f>SUM(Table2[[#This Row],[Cereals and products]:[Food and beverages]])</f>
        <v>1734.5000000000002</v>
      </c>
      <c r="AG149">
        <f>SUM(Table2[[#This Row],[Housing]:[Household goods and services]],Table2[[#This Row],[Transport and communication]],Table2[[#This Row],[Education]])</f>
        <v>651.69999999999993</v>
      </c>
      <c r="AH149">
        <f>SUM(Table2[[#This Row],[Clothing]:[Clothing and footwear]])</f>
        <v>416.90000000000003</v>
      </c>
      <c r="AI149">
        <f>SUM(Table2[[#This Row],[Pan, tobacco and intoxicants]],Table2[[#This Row],[Recreation and amusement]],Table2[[#This Row],[Personal care and effects]])</f>
        <v>394.59999999999997</v>
      </c>
    </row>
    <row r="150" spans="1:35" x14ac:dyDescent="0.25">
      <c r="A150" t="s">
        <v>33</v>
      </c>
      <c r="B150">
        <v>2017</v>
      </c>
      <c r="C150" t="s">
        <v>36</v>
      </c>
      <c r="D150" s="2">
        <v>42767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v>146.30000000000001</v>
      </c>
      <c r="S150">
        <v>130.5</v>
      </c>
      <c r="T150">
        <v>122.5</v>
      </c>
      <c r="U150">
        <v>129.30000000000001</v>
      </c>
      <c r="V150"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  <c r="AF150">
        <f>SUM(Table2[[#This Row],[Cereals and products]:[Food and beverages]])</f>
        <v>1705.3000000000002</v>
      </c>
      <c r="AG150">
        <f>SUM(Table2[[#This Row],[Housing]:[Household goods and services]],Table2[[#This Row],[Transport and communication]],Table2[[#This Row],[Education]])</f>
        <v>622.9</v>
      </c>
      <c r="AH150">
        <f>SUM(Table2[[#This Row],[Clothing]:[Clothing and footwear]])</f>
        <v>382.3</v>
      </c>
      <c r="AI150">
        <f>SUM(Table2[[#This Row],[Pan, tobacco and intoxicants]],Table2[[#This Row],[Recreation and amusement]],Table2[[#This Row],[Personal care and effects]])</f>
        <v>390.2</v>
      </c>
    </row>
    <row r="151" spans="1:35" x14ac:dyDescent="0.25">
      <c r="A151" t="s">
        <v>35</v>
      </c>
      <c r="B151">
        <v>2017</v>
      </c>
      <c r="C151" t="s">
        <v>36</v>
      </c>
      <c r="D151" s="2">
        <v>42767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v>144.4</v>
      </c>
      <c r="S151">
        <v>136.80000000000001</v>
      </c>
      <c r="T151">
        <v>130.30000000000001</v>
      </c>
      <c r="U151">
        <v>135.9</v>
      </c>
      <c r="V151"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  <c r="AF151">
        <f>SUM(Table2[[#This Row],[Cereals and products]:[Food and beverages]])</f>
        <v>1722.3000000000002</v>
      </c>
      <c r="AG151">
        <f>SUM(Table2[[#This Row],[Housing]:[Household goods and services]],Table2[[#This Row],[Transport and communication]],Table2[[#This Row],[Education]])</f>
        <v>638.9</v>
      </c>
      <c r="AH151">
        <f>SUM(Table2[[#This Row],[Clothing]:[Clothing and footwear]])</f>
        <v>403</v>
      </c>
      <c r="AI151">
        <f>SUM(Table2[[#This Row],[Pan, tobacco and intoxicants]],Table2[[#This Row],[Recreation and amusement]],Table2[[#This Row],[Personal care and effects]])</f>
        <v>391.6</v>
      </c>
    </row>
    <row r="152" spans="1:35" x14ac:dyDescent="0.25">
      <c r="A152" t="s">
        <v>30</v>
      </c>
      <c r="B152">
        <v>2017</v>
      </c>
      <c r="C152" t="s">
        <v>38</v>
      </c>
      <c r="D152" s="2">
        <v>42795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v>144.19999999999999</v>
      </c>
      <c r="S152">
        <v>141.6</v>
      </c>
      <c r="T152">
        <v>136.19999999999999</v>
      </c>
      <c r="U152">
        <v>140.80000000000001</v>
      </c>
      <c r="V152">
        <v>131.1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  <c r="AF152">
        <f>SUM(Table2[[#This Row],[Cereals and products]:[Food and beverages]])</f>
        <v>1728.5000000000002</v>
      </c>
      <c r="AG152">
        <f>SUM(Table2[[#This Row],[Housing]:[Household goods and services]],Table2[[#This Row],[Transport and communication]],Table2[[#This Row],[Education]])</f>
        <v>654.39999999999986</v>
      </c>
      <c r="AH152">
        <f>SUM(Table2[[#This Row],[Clothing]:[Clothing and footwear]])</f>
        <v>418.59999999999997</v>
      </c>
      <c r="AI152">
        <f>SUM(Table2[[#This Row],[Pan, tobacco and intoxicants]],Table2[[#This Row],[Recreation and amusement]],Table2[[#This Row],[Personal care and effects]])</f>
        <v>395.8</v>
      </c>
    </row>
    <row r="153" spans="1:35" x14ac:dyDescent="0.25">
      <c r="A153" t="s">
        <v>33</v>
      </c>
      <c r="B153">
        <v>2017</v>
      </c>
      <c r="C153" t="s">
        <v>38</v>
      </c>
      <c r="D153" s="2">
        <v>42795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v>147.5</v>
      </c>
      <c r="S153">
        <v>130.80000000000001</v>
      </c>
      <c r="T153">
        <v>122.8</v>
      </c>
      <c r="U153">
        <v>129.6</v>
      </c>
      <c r="V153"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  <c r="AF153">
        <f>SUM(Table2[[#This Row],[Cereals and products]:[Food and beverages]])</f>
        <v>1705.6999999999998</v>
      </c>
      <c r="AG153">
        <f>SUM(Table2[[#This Row],[Housing]:[Household goods and services]],Table2[[#This Row],[Transport and communication]],Table2[[#This Row],[Education]])</f>
        <v>625.90000000000009</v>
      </c>
      <c r="AH153">
        <f>SUM(Table2[[#This Row],[Clothing]:[Clothing and footwear]])</f>
        <v>383.20000000000005</v>
      </c>
      <c r="AI153">
        <f>SUM(Table2[[#This Row],[Pan, tobacco and intoxicants]],Table2[[#This Row],[Recreation and amusement]],Table2[[#This Row],[Personal care and effects]])</f>
        <v>391.59999999999997</v>
      </c>
    </row>
    <row r="154" spans="1:35" x14ac:dyDescent="0.25">
      <c r="A154" t="s">
        <v>35</v>
      </c>
      <c r="B154">
        <v>2017</v>
      </c>
      <c r="C154" t="s">
        <v>38</v>
      </c>
      <c r="D154" s="2">
        <v>42795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v>145.1</v>
      </c>
      <c r="S154">
        <v>137.30000000000001</v>
      </c>
      <c r="T154">
        <v>130.6</v>
      </c>
      <c r="U154">
        <v>136.4</v>
      </c>
      <c r="V154"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  <c r="AF154">
        <f>SUM(Table2[[#This Row],[Cereals and products]:[Food and beverages]])</f>
        <v>1718.9</v>
      </c>
      <c r="AG154">
        <f>SUM(Table2[[#This Row],[Housing]:[Household goods and services]],Table2[[#This Row],[Transport and communication]],Table2[[#This Row],[Education]])</f>
        <v>641.70000000000005</v>
      </c>
      <c r="AH154">
        <f>SUM(Table2[[#This Row],[Clothing]:[Clothing and footwear]])</f>
        <v>404.29999999999995</v>
      </c>
      <c r="AI154">
        <f>SUM(Table2[[#This Row],[Pan, tobacco and intoxicants]],Table2[[#This Row],[Recreation and amusement]],Table2[[#This Row],[Personal care and effects]])</f>
        <v>392.70000000000005</v>
      </c>
    </row>
    <row r="155" spans="1:35" x14ac:dyDescent="0.25">
      <c r="A155" t="s">
        <v>30</v>
      </c>
      <c r="B155">
        <v>2017</v>
      </c>
      <c r="C155" t="s">
        <v>39</v>
      </c>
      <c r="D155" s="2">
        <v>42826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v>144.4</v>
      </c>
      <c r="S155">
        <v>142.4</v>
      </c>
      <c r="T155">
        <v>136.80000000000001</v>
      </c>
      <c r="U155">
        <v>141.6</v>
      </c>
      <c r="V155">
        <v>131.69999999999999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  <c r="AF155">
        <f>SUM(Table2[[#This Row],[Cereals and products]:[Food and beverages]])</f>
        <v>1726.3</v>
      </c>
      <c r="AG155">
        <f>SUM(Table2[[#This Row],[Housing]:[Household goods and services]],Table2[[#This Row],[Transport and communication]],Table2[[#This Row],[Education]])</f>
        <v>655.90000000000009</v>
      </c>
      <c r="AH155">
        <f>SUM(Table2[[#This Row],[Clothing]:[Clothing and footwear]])</f>
        <v>420.80000000000007</v>
      </c>
      <c r="AI155">
        <f>SUM(Table2[[#This Row],[Pan, tobacco and intoxicants]],Table2[[#This Row],[Recreation and amusement]],Table2[[#This Row],[Personal care and effects]])</f>
        <v>396.40000000000003</v>
      </c>
    </row>
    <row r="156" spans="1:35" x14ac:dyDescent="0.25">
      <c r="A156" t="s">
        <v>33</v>
      </c>
      <c r="B156">
        <v>2017</v>
      </c>
      <c r="C156" t="s">
        <v>39</v>
      </c>
      <c r="D156" s="2">
        <v>42826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v>148</v>
      </c>
      <c r="S156">
        <v>131.19999999999999</v>
      </c>
      <c r="T156">
        <v>123</v>
      </c>
      <c r="U156">
        <v>130</v>
      </c>
      <c r="V156"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  <c r="AF156">
        <f>SUM(Table2[[#This Row],[Cereals and products]:[Food and beverages]])</f>
        <v>1708.1</v>
      </c>
      <c r="AG156">
        <f>SUM(Table2[[#This Row],[Housing]:[Household goods and services]],Table2[[#This Row],[Transport and communication]],Table2[[#This Row],[Education]])</f>
        <v>627</v>
      </c>
      <c r="AH156">
        <f>SUM(Table2[[#This Row],[Clothing]:[Clothing and footwear]])</f>
        <v>384.2</v>
      </c>
      <c r="AI156">
        <f>SUM(Table2[[#This Row],[Pan, tobacco and intoxicants]],Table2[[#This Row],[Recreation and amusement]],Table2[[#This Row],[Personal care and effects]])</f>
        <v>392.8</v>
      </c>
    </row>
    <row r="157" spans="1:35" x14ac:dyDescent="0.25">
      <c r="A157" t="s">
        <v>35</v>
      </c>
      <c r="B157">
        <v>2017</v>
      </c>
      <c r="C157" t="s">
        <v>39</v>
      </c>
      <c r="D157" s="2">
        <v>42826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v>145.4</v>
      </c>
      <c r="S157">
        <v>138</v>
      </c>
      <c r="T157">
        <v>131.1</v>
      </c>
      <c r="U157">
        <v>137</v>
      </c>
      <c r="V157"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  <c r="AF157">
        <f>SUM(Table2[[#This Row],[Cereals and products]:[Food and beverages]])</f>
        <v>1718.4</v>
      </c>
      <c r="AG157">
        <f>SUM(Table2[[#This Row],[Housing]:[Household goods and services]],Table2[[#This Row],[Transport and communication]],Table2[[#This Row],[Education]])</f>
        <v>643</v>
      </c>
      <c r="AH157">
        <f>SUM(Table2[[#This Row],[Clothing]:[Clothing and footwear]])</f>
        <v>406.1</v>
      </c>
      <c r="AI157">
        <f>SUM(Table2[[#This Row],[Pan, tobacco and intoxicants]],Table2[[#This Row],[Recreation and amusement]],Table2[[#This Row],[Personal care and effects]])</f>
        <v>393.6</v>
      </c>
    </row>
    <row r="158" spans="1:35" x14ac:dyDescent="0.25">
      <c r="A158" t="s">
        <v>30</v>
      </c>
      <c r="B158">
        <v>2017</v>
      </c>
      <c r="C158" t="s">
        <v>41</v>
      </c>
      <c r="D158" s="2">
        <v>42856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v>145.5</v>
      </c>
      <c r="S158">
        <v>142.5</v>
      </c>
      <c r="T158">
        <v>137.30000000000001</v>
      </c>
      <c r="U158">
        <v>141.80000000000001</v>
      </c>
      <c r="V158">
        <v>132.1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  <c r="AF158">
        <f>SUM(Table2[[#This Row],[Cereals and products]:[Food and beverages]])</f>
        <v>1727.4999999999995</v>
      </c>
      <c r="AG158">
        <f>SUM(Table2[[#This Row],[Housing]:[Household goods and services]],Table2[[#This Row],[Transport and communication]],Table2[[#This Row],[Education]])</f>
        <v>657.7</v>
      </c>
      <c r="AH158">
        <f>SUM(Table2[[#This Row],[Clothing]:[Clothing and footwear]])</f>
        <v>421.6</v>
      </c>
      <c r="AI158">
        <f>SUM(Table2[[#This Row],[Pan, tobacco and intoxicants]],Table2[[#This Row],[Recreation and amusement]],Table2[[#This Row],[Personal care and effects]])</f>
        <v>398.59999999999997</v>
      </c>
    </row>
    <row r="159" spans="1:35" x14ac:dyDescent="0.25">
      <c r="A159" t="s">
        <v>33</v>
      </c>
      <c r="B159">
        <v>2017</v>
      </c>
      <c r="C159" t="s">
        <v>41</v>
      </c>
      <c r="D159" s="2">
        <v>42856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v>148.30000000000001</v>
      </c>
      <c r="S159">
        <v>131.5</v>
      </c>
      <c r="T159">
        <v>123.2</v>
      </c>
      <c r="U159">
        <v>130.19999999999999</v>
      </c>
      <c r="V159"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  <c r="AF159">
        <f>SUM(Table2[[#This Row],[Cereals and products]:[Food and beverages]])</f>
        <v>1709.6</v>
      </c>
      <c r="AG159">
        <f>SUM(Table2[[#This Row],[Housing]:[Household goods and services]],Table2[[#This Row],[Transport and communication]],Table2[[#This Row],[Education]])</f>
        <v>626.79999999999995</v>
      </c>
      <c r="AH159">
        <f>SUM(Table2[[#This Row],[Clothing]:[Clothing and footwear]])</f>
        <v>384.9</v>
      </c>
      <c r="AI159">
        <f>SUM(Table2[[#This Row],[Pan, tobacco and intoxicants]],Table2[[#This Row],[Recreation and amusement]],Table2[[#This Row],[Personal care and effects]])</f>
        <v>393.1</v>
      </c>
    </row>
    <row r="160" spans="1:35" x14ac:dyDescent="0.25">
      <c r="A160" t="s">
        <v>35</v>
      </c>
      <c r="B160">
        <v>2017</v>
      </c>
      <c r="C160" t="s">
        <v>41</v>
      </c>
      <c r="D160" s="2">
        <v>42856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v>146.19999999999999</v>
      </c>
      <c r="S160">
        <v>138.19999999999999</v>
      </c>
      <c r="T160">
        <v>131.4</v>
      </c>
      <c r="U160">
        <v>137.19999999999999</v>
      </c>
      <c r="V160"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  <c r="AF160">
        <f>SUM(Table2[[#This Row],[Cereals and products]:[Food and beverages]])</f>
        <v>1719.6000000000001</v>
      </c>
      <c r="AG160">
        <f>SUM(Table2[[#This Row],[Housing]:[Household goods and services]],Table2[[#This Row],[Transport and communication]],Table2[[#This Row],[Education]])</f>
        <v>643.9</v>
      </c>
      <c r="AH160">
        <f>SUM(Table2[[#This Row],[Clothing]:[Clothing and footwear]])</f>
        <v>406.8</v>
      </c>
      <c r="AI160">
        <f>SUM(Table2[[#This Row],[Pan, tobacco and intoxicants]],Table2[[#This Row],[Recreation and amusement]],Table2[[#This Row],[Personal care and effects]])</f>
        <v>394.9</v>
      </c>
    </row>
    <row r="161" spans="1:35" x14ac:dyDescent="0.25">
      <c r="A161" t="s">
        <v>30</v>
      </c>
      <c r="B161">
        <v>2017</v>
      </c>
      <c r="C161" t="s">
        <v>42</v>
      </c>
      <c r="D161" s="2">
        <v>42887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v>145.80000000000001</v>
      </c>
      <c r="S161">
        <v>143.1</v>
      </c>
      <c r="T161">
        <v>137.69999999999999</v>
      </c>
      <c r="U161">
        <v>142.30000000000001</v>
      </c>
      <c r="V161">
        <v>131.4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  <c r="AF161">
        <f>SUM(Table2[[#This Row],[Cereals and products]:[Food and beverages]])</f>
        <v>1738.8000000000002</v>
      </c>
      <c r="AG161">
        <f>SUM(Table2[[#This Row],[Housing]:[Household goods and services]],Table2[[#This Row],[Transport and communication]],Table2[[#This Row],[Education]])</f>
        <v>657.7</v>
      </c>
      <c r="AH161">
        <f>SUM(Table2[[#This Row],[Clothing]:[Clothing and footwear]])</f>
        <v>423.09999999999997</v>
      </c>
      <c r="AI161">
        <f>SUM(Table2[[#This Row],[Pan, tobacco and intoxicants]],Table2[[#This Row],[Recreation and amusement]],Table2[[#This Row],[Personal care and effects]])</f>
        <v>399.70000000000005</v>
      </c>
    </row>
    <row r="162" spans="1:35" x14ac:dyDescent="0.25">
      <c r="A162" t="s">
        <v>33</v>
      </c>
      <c r="B162">
        <v>2017</v>
      </c>
      <c r="C162" t="s">
        <v>42</v>
      </c>
      <c r="D162" s="2">
        <v>42887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v>148.6</v>
      </c>
      <c r="S162">
        <v>131.5</v>
      </c>
      <c r="T162">
        <v>123.2</v>
      </c>
      <c r="U162">
        <v>130.19999999999999</v>
      </c>
      <c r="V162"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  <c r="AF162">
        <f>SUM(Table2[[#This Row],[Cereals and products]:[Food and beverages]])</f>
        <v>1731.0000000000002</v>
      </c>
      <c r="AG162">
        <f>SUM(Table2[[#This Row],[Housing]:[Household goods and services]],Table2[[#This Row],[Transport and communication]],Table2[[#This Row],[Education]])</f>
        <v>625.40000000000009</v>
      </c>
      <c r="AH162">
        <f>SUM(Table2[[#This Row],[Clothing]:[Clothing and footwear]])</f>
        <v>384.9</v>
      </c>
      <c r="AI162">
        <f>SUM(Table2[[#This Row],[Pan, tobacco and intoxicants]],Table2[[#This Row],[Recreation and amusement]],Table2[[#This Row],[Personal care and effects]])</f>
        <v>394</v>
      </c>
    </row>
    <row r="163" spans="1:35" x14ac:dyDescent="0.25">
      <c r="A163" t="s">
        <v>35</v>
      </c>
      <c r="B163">
        <v>2017</v>
      </c>
      <c r="C163" t="s">
        <v>42</v>
      </c>
      <c r="D163" s="2">
        <v>42887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v>146.5</v>
      </c>
      <c r="S163">
        <v>138.5</v>
      </c>
      <c r="T163">
        <v>131.69999999999999</v>
      </c>
      <c r="U163">
        <v>137.5</v>
      </c>
      <c r="V163"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  <c r="AF163">
        <f>SUM(Table2[[#This Row],[Cereals and products]:[Food and beverages]])</f>
        <v>1734.7</v>
      </c>
      <c r="AG163">
        <f>SUM(Table2[[#This Row],[Housing]:[Household goods and services]],Table2[[#This Row],[Transport and communication]],Table2[[#This Row],[Education]])</f>
        <v>643.30000000000007</v>
      </c>
      <c r="AH163">
        <f>SUM(Table2[[#This Row],[Clothing]:[Clothing and footwear]])</f>
        <v>407.7</v>
      </c>
      <c r="AI163">
        <f>SUM(Table2[[#This Row],[Pan, tobacco and intoxicants]],Table2[[#This Row],[Recreation and amusement]],Table2[[#This Row],[Personal care and effects]])</f>
        <v>395.79999999999995</v>
      </c>
    </row>
    <row r="164" spans="1:35" x14ac:dyDescent="0.25">
      <c r="A164" t="s">
        <v>30</v>
      </c>
      <c r="B164">
        <v>2017</v>
      </c>
      <c r="C164" t="s">
        <v>44</v>
      </c>
      <c r="D164" s="2">
        <v>42917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v>147.4</v>
      </c>
      <c r="S164">
        <v>144.30000000000001</v>
      </c>
      <c r="T164">
        <v>138.1</v>
      </c>
      <c r="U164">
        <v>143.5</v>
      </c>
      <c r="V164">
        <v>132.6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  <c r="AF164">
        <f>SUM(Table2[[#This Row],[Cereals and products]:[Food and beverages]])</f>
        <v>1772.9</v>
      </c>
      <c r="AG164">
        <f>SUM(Table2[[#This Row],[Housing]:[Household goods and services]],Table2[[#This Row],[Transport and communication]],Table2[[#This Row],[Education]])</f>
        <v>661.7</v>
      </c>
      <c r="AH164">
        <f>SUM(Table2[[#This Row],[Clothing]:[Clothing and footwear]])</f>
        <v>425.9</v>
      </c>
      <c r="AI164">
        <f>SUM(Table2[[#This Row],[Pan, tobacco and intoxicants]],Table2[[#This Row],[Recreation and amusement]],Table2[[#This Row],[Personal care and effects]])</f>
        <v>402.4</v>
      </c>
    </row>
    <row r="165" spans="1:35" x14ac:dyDescent="0.25">
      <c r="A165" t="s">
        <v>33</v>
      </c>
      <c r="B165">
        <v>2017</v>
      </c>
      <c r="C165" t="s">
        <v>44</v>
      </c>
      <c r="D165" s="2">
        <v>42917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v>150.5</v>
      </c>
      <c r="S165">
        <v>131.6</v>
      </c>
      <c r="T165">
        <v>123.7</v>
      </c>
      <c r="U165">
        <v>130.4</v>
      </c>
      <c r="V165"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  <c r="AF165">
        <f>SUM(Table2[[#This Row],[Cereals and products]:[Food and beverages]])</f>
        <v>1768.1</v>
      </c>
      <c r="AG165">
        <f>SUM(Table2[[#This Row],[Housing]:[Household goods and services]],Table2[[#This Row],[Transport and communication]],Table2[[#This Row],[Education]])</f>
        <v>628.20000000000005</v>
      </c>
      <c r="AH165">
        <f>SUM(Table2[[#This Row],[Clothing]:[Clothing and footwear]])</f>
        <v>385.70000000000005</v>
      </c>
      <c r="AI165">
        <f>SUM(Table2[[#This Row],[Pan, tobacco and intoxicants]],Table2[[#This Row],[Recreation and amusement]],Table2[[#This Row],[Personal care and effects]])</f>
        <v>396.4</v>
      </c>
    </row>
    <row r="166" spans="1:35" x14ac:dyDescent="0.25">
      <c r="A166" t="s">
        <v>35</v>
      </c>
      <c r="B166">
        <v>2017</v>
      </c>
      <c r="C166" t="s">
        <v>44</v>
      </c>
      <c r="D166" s="2">
        <v>42917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v>148.19999999999999</v>
      </c>
      <c r="S166">
        <v>139.30000000000001</v>
      </c>
      <c r="T166">
        <v>132.1</v>
      </c>
      <c r="U166">
        <v>138.30000000000001</v>
      </c>
      <c r="V166"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  <c r="AF166">
        <f>SUM(Table2[[#This Row],[Cereals and products]:[Food and beverages]])</f>
        <v>1769.3999999999999</v>
      </c>
      <c r="AG166">
        <f>SUM(Table2[[#This Row],[Housing]:[Household goods and services]],Table2[[#This Row],[Transport and communication]],Table2[[#This Row],[Education]])</f>
        <v>646.70000000000005</v>
      </c>
      <c r="AH166">
        <f>SUM(Table2[[#This Row],[Clothing]:[Clothing and footwear]])</f>
        <v>409.7</v>
      </c>
      <c r="AI166">
        <f>SUM(Table2[[#This Row],[Pan, tobacco and intoxicants]],Table2[[#This Row],[Recreation and amusement]],Table2[[#This Row],[Personal care and effects]])</f>
        <v>398.4</v>
      </c>
    </row>
    <row r="167" spans="1:35" x14ac:dyDescent="0.25">
      <c r="A167" t="s">
        <v>30</v>
      </c>
      <c r="B167">
        <v>2017</v>
      </c>
      <c r="C167" t="s">
        <v>46</v>
      </c>
      <c r="D167" s="2">
        <v>42948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v>149</v>
      </c>
      <c r="S167">
        <v>145.30000000000001</v>
      </c>
      <c r="T167">
        <v>139.19999999999999</v>
      </c>
      <c r="U167">
        <v>144.5</v>
      </c>
      <c r="V167">
        <v>134.4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  <c r="AF167">
        <f>SUM(Table2[[#This Row],[Cereals and products]:[Food and beverages]])</f>
        <v>1792.4999999999998</v>
      </c>
      <c r="AG167">
        <f>SUM(Table2[[#This Row],[Housing]:[Household goods and services]],Table2[[#This Row],[Transport and communication]],Table2[[#This Row],[Education]])</f>
        <v>668.59999999999991</v>
      </c>
      <c r="AH167">
        <f>SUM(Table2[[#This Row],[Clothing]:[Clothing and footwear]])</f>
        <v>429</v>
      </c>
      <c r="AI167">
        <f>SUM(Table2[[#This Row],[Pan, tobacco and intoxicants]],Table2[[#This Row],[Recreation and amusement]],Table2[[#This Row],[Personal care and effects]])</f>
        <v>405.9</v>
      </c>
    </row>
    <row r="168" spans="1:35" x14ac:dyDescent="0.25">
      <c r="A168" t="s">
        <v>33</v>
      </c>
      <c r="B168">
        <v>2017</v>
      </c>
      <c r="C168" t="s">
        <v>46</v>
      </c>
      <c r="D168" s="2">
        <v>42948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v>152.1</v>
      </c>
      <c r="S168">
        <v>132.69999999999999</v>
      </c>
      <c r="T168">
        <v>124.3</v>
      </c>
      <c r="U168">
        <v>131.4</v>
      </c>
      <c r="V168"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  <c r="AF168">
        <f>SUM(Table2[[#This Row],[Cereals and products]:[Food and beverages]])</f>
        <v>1772.9999999999998</v>
      </c>
      <c r="AG168">
        <f>SUM(Table2[[#This Row],[Housing]:[Household goods and services]],Table2[[#This Row],[Transport and communication]],Table2[[#This Row],[Education]])</f>
        <v>631.29999999999995</v>
      </c>
      <c r="AH168">
        <f>SUM(Table2[[#This Row],[Clothing]:[Clothing and footwear]])</f>
        <v>388.4</v>
      </c>
      <c r="AI168">
        <f>SUM(Table2[[#This Row],[Pan, tobacco and intoxicants]],Table2[[#This Row],[Recreation and amusement]],Table2[[#This Row],[Personal care and effects]])</f>
        <v>399.5</v>
      </c>
    </row>
    <row r="169" spans="1:35" x14ac:dyDescent="0.25">
      <c r="A169" t="s">
        <v>35</v>
      </c>
      <c r="B169">
        <v>2017</v>
      </c>
      <c r="C169" t="s">
        <v>46</v>
      </c>
      <c r="D169" s="2">
        <v>42948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v>149.80000000000001</v>
      </c>
      <c r="S169">
        <v>140.30000000000001</v>
      </c>
      <c r="T169">
        <v>133</v>
      </c>
      <c r="U169">
        <v>139.30000000000001</v>
      </c>
      <c r="V169"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  <c r="AF169">
        <f>SUM(Table2[[#This Row],[Cereals and products]:[Food and beverages]])</f>
        <v>1783.8</v>
      </c>
      <c r="AG169">
        <f>SUM(Table2[[#This Row],[Housing]:[Household goods and services]],Table2[[#This Row],[Transport and communication]],Table2[[#This Row],[Education]])</f>
        <v>651.90000000000009</v>
      </c>
      <c r="AH169">
        <f>SUM(Table2[[#This Row],[Clothing]:[Clothing and footwear]])</f>
        <v>412.6</v>
      </c>
      <c r="AI169">
        <f>SUM(Table2[[#This Row],[Pan, tobacco and intoxicants]],Table2[[#This Row],[Recreation and amusement]],Table2[[#This Row],[Personal care and effects]])</f>
        <v>401.6</v>
      </c>
    </row>
    <row r="170" spans="1:35" x14ac:dyDescent="0.25">
      <c r="A170" t="s">
        <v>30</v>
      </c>
      <c r="B170">
        <v>2017</v>
      </c>
      <c r="C170" t="s">
        <v>48</v>
      </c>
      <c r="D170" s="2">
        <v>42979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v>149.80000000000001</v>
      </c>
      <c r="S170">
        <v>146.1</v>
      </c>
      <c r="T170">
        <v>139.69999999999999</v>
      </c>
      <c r="U170">
        <v>145.19999999999999</v>
      </c>
      <c r="V170">
        <v>135.69999999999999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  <c r="AF170">
        <f>SUM(Table2[[#This Row],[Cereals and products]:[Food and beverages]])</f>
        <v>1784.3</v>
      </c>
      <c r="AG170">
        <f>SUM(Table2[[#This Row],[Housing]:[Household goods and services]],Table2[[#This Row],[Transport and communication]],Table2[[#This Row],[Education]])</f>
        <v>671.80000000000007</v>
      </c>
      <c r="AH170">
        <f>SUM(Table2[[#This Row],[Clothing]:[Clothing and footwear]])</f>
        <v>430.99999999999994</v>
      </c>
      <c r="AI170">
        <f>SUM(Table2[[#This Row],[Pan, tobacco and intoxicants]],Table2[[#This Row],[Recreation and amusement]],Table2[[#This Row],[Personal care and effects]])</f>
        <v>408.8</v>
      </c>
    </row>
    <row r="171" spans="1:35" x14ac:dyDescent="0.25">
      <c r="A171" t="s">
        <v>33</v>
      </c>
      <c r="B171">
        <v>2017</v>
      </c>
      <c r="C171" t="s">
        <v>48</v>
      </c>
      <c r="D171" s="2">
        <v>42979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v>153.6</v>
      </c>
      <c r="S171">
        <v>133.30000000000001</v>
      </c>
      <c r="T171">
        <v>124.6</v>
      </c>
      <c r="U171">
        <v>132</v>
      </c>
      <c r="V171"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  <c r="AF171">
        <f>SUM(Table2[[#This Row],[Cereals and products]:[Food and beverages]])</f>
        <v>1749.7</v>
      </c>
      <c r="AG171">
        <f>SUM(Table2[[#This Row],[Housing]:[Household goods and services]],Table2[[#This Row],[Transport and communication]],Table2[[#This Row],[Education]])</f>
        <v>636</v>
      </c>
      <c r="AH171">
        <f>SUM(Table2[[#This Row],[Clothing]:[Clothing and footwear]])</f>
        <v>389.9</v>
      </c>
      <c r="AI171">
        <f>SUM(Table2[[#This Row],[Pan, tobacco and intoxicants]],Table2[[#This Row],[Recreation and amusement]],Table2[[#This Row],[Personal care and effects]])</f>
        <v>402.5</v>
      </c>
    </row>
    <row r="172" spans="1:35" x14ac:dyDescent="0.25">
      <c r="A172" t="s">
        <v>35</v>
      </c>
      <c r="B172">
        <v>2017</v>
      </c>
      <c r="C172" t="s">
        <v>48</v>
      </c>
      <c r="D172" s="2">
        <v>42979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v>150.80000000000001</v>
      </c>
      <c r="S172">
        <v>141.1</v>
      </c>
      <c r="T172">
        <v>133.4</v>
      </c>
      <c r="U172">
        <v>140</v>
      </c>
      <c r="V172"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  <c r="AF172">
        <f>SUM(Table2[[#This Row],[Cereals and products]:[Food and beverages]])</f>
        <v>1769.9999999999998</v>
      </c>
      <c r="AG172">
        <f>SUM(Table2[[#This Row],[Housing]:[Household goods and services]],Table2[[#This Row],[Transport and communication]],Table2[[#This Row],[Education]])</f>
        <v>655.69999999999993</v>
      </c>
      <c r="AH172">
        <f>SUM(Table2[[#This Row],[Clothing]:[Clothing and footwear]])</f>
        <v>414.5</v>
      </c>
      <c r="AI172">
        <f>SUM(Table2[[#This Row],[Pan, tobacco and intoxicants]],Table2[[#This Row],[Recreation and amusement]],Table2[[#This Row],[Personal care and effects]])</f>
        <v>404.40000000000003</v>
      </c>
    </row>
    <row r="173" spans="1:35" x14ac:dyDescent="0.25">
      <c r="A173" t="s">
        <v>30</v>
      </c>
      <c r="B173">
        <v>2017</v>
      </c>
      <c r="C173" t="s">
        <v>50</v>
      </c>
      <c r="D173" s="2">
        <v>43009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v>150.5</v>
      </c>
      <c r="S173">
        <v>147.19999999999999</v>
      </c>
      <c r="T173">
        <v>140.6</v>
      </c>
      <c r="U173">
        <v>146.19999999999999</v>
      </c>
      <c r="V173">
        <v>137.30000000000001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  <c r="AF173">
        <f>SUM(Table2[[#This Row],[Cereals and products]:[Food and beverages]])</f>
        <v>1790.8999999999999</v>
      </c>
      <c r="AG173">
        <f>SUM(Table2[[#This Row],[Housing]:[Household goods and services]],Table2[[#This Row],[Transport and communication]],Table2[[#This Row],[Education]])</f>
        <v>674.9</v>
      </c>
      <c r="AH173">
        <f>SUM(Table2[[#This Row],[Clothing]:[Clothing and footwear]])</f>
        <v>433.99999999999994</v>
      </c>
      <c r="AI173">
        <f>SUM(Table2[[#This Row],[Pan, tobacco and intoxicants]],Table2[[#This Row],[Recreation and amusement]],Table2[[#This Row],[Personal care and effects]])</f>
        <v>410.9</v>
      </c>
    </row>
    <row r="174" spans="1:35" x14ac:dyDescent="0.25">
      <c r="A174" t="s">
        <v>33</v>
      </c>
      <c r="B174">
        <v>2017</v>
      </c>
      <c r="C174" t="s">
        <v>50</v>
      </c>
      <c r="D174" s="2">
        <v>43009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v>154.6</v>
      </c>
      <c r="S174">
        <v>134</v>
      </c>
      <c r="T174">
        <v>124.9</v>
      </c>
      <c r="U174">
        <v>132.6</v>
      </c>
      <c r="V174"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  <c r="AF174">
        <f>SUM(Table2[[#This Row],[Cereals and products]:[Food and beverages]])</f>
        <v>1765.6999999999998</v>
      </c>
      <c r="AG174">
        <f>SUM(Table2[[#This Row],[Housing]:[Household goods and services]],Table2[[#This Row],[Transport and communication]],Table2[[#This Row],[Education]])</f>
        <v>639.5</v>
      </c>
      <c r="AH174">
        <f>SUM(Table2[[#This Row],[Clothing]:[Clothing and footwear]])</f>
        <v>391.5</v>
      </c>
      <c r="AI174">
        <f>SUM(Table2[[#This Row],[Pan, tobacco and intoxicants]],Table2[[#This Row],[Recreation and amusement]],Table2[[#This Row],[Personal care and effects]])</f>
        <v>404</v>
      </c>
    </row>
    <row r="175" spans="1:35" x14ac:dyDescent="0.25">
      <c r="A175" t="s">
        <v>35</v>
      </c>
      <c r="B175">
        <v>2017</v>
      </c>
      <c r="C175" t="s">
        <v>50</v>
      </c>
      <c r="D175" s="2">
        <v>43009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v>151.6</v>
      </c>
      <c r="S175">
        <v>142</v>
      </c>
      <c r="T175">
        <v>134.1</v>
      </c>
      <c r="U175">
        <v>140.80000000000001</v>
      </c>
      <c r="V175"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  <c r="AF175">
        <f>SUM(Table2[[#This Row],[Cereals and products]:[Food and beverages]])</f>
        <v>1779.6999999999998</v>
      </c>
      <c r="AG175">
        <f>SUM(Table2[[#This Row],[Housing]:[Household goods and services]],Table2[[#This Row],[Transport and communication]],Table2[[#This Row],[Education]])</f>
        <v>658.8</v>
      </c>
      <c r="AH175">
        <f>SUM(Table2[[#This Row],[Clothing]:[Clothing and footwear]])</f>
        <v>416.90000000000003</v>
      </c>
      <c r="AI175">
        <f>SUM(Table2[[#This Row],[Pan, tobacco and intoxicants]],Table2[[#This Row],[Recreation and amusement]],Table2[[#This Row],[Personal care and effects]])</f>
        <v>406.2</v>
      </c>
    </row>
    <row r="176" spans="1:35" x14ac:dyDescent="0.25">
      <c r="A176" t="s">
        <v>30</v>
      </c>
      <c r="B176">
        <v>2017</v>
      </c>
      <c r="C176" t="s">
        <v>53</v>
      </c>
      <c r="D176" s="2">
        <v>43040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v>152.1</v>
      </c>
      <c r="S176">
        <v>148.19999999999999</v>
      </c>
      <c r="T176">
        <v>141.5</v>
      </c>
      <c r="U176">
        <v>147.30000000000001</v>
      </c>
      <c r="V176">
        <v>138.6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  <c r="AF176">
        <f>SUM(Table2[[#This Row],[Cereals and products]:[Food and beverages]])</f>
        <v>1817.7000000000003</v>
      </c>
      <c r="AG176">
        <f>SUM(Table2[[#This Row],[Housing]:[Household goods and services]],Table2[[#This Row],[Transport and communication]],Table2[[#This Row],[Education]])</f>
        <v>682.2</v>
      </c>
      <c r="AH176">
        <f>SUM(Table2[[#This Row],[Clothing]:[Clothing and footwear]])</f>
        <v>437</v>
      </c>
      <c r="AI176">
        <f>SUM(Table2[[#This Row],[Pan, tobacco and intoxicants]],Table2[[#This Row],[Recreation and amusement]],Table2[[#This Row],[Personal care and effects]])</f>
        <v>413.9</v>
      </c>
    </row>
    <row r="177" spans="1:35" x14ac:dyDescent="0.25">
      <c r="A177" t="s">
        <v>33</v>
      </c>
      <c r="B177">
        <v>2017</v>
      </c>
      <c r="C177" t="s">
        <v>53</v>
      </c>
      <c r="D177" s="2">
        <v>43040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v>156.19999999999999</v>
      </c>
      <c r="S177">
        <v>135</v>
      </c>
      <c r="T177">
        <v>125.4</v>
      </c>
      <c r="U177">
        <v>133.5</v>
      </c>
      <c r="V177"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  <c r="AF177">
        <f>SUM(Table2[[#This Row],[Cereals and products]:[Food and beverages]])</f>
        <v>1796.7</v>
      </c>
      <c r="AG177">
        <f>SUM(Table2[[#This Row],[Housing]:[Household goods and services]],Table2[[#This Row],[Transport and communication]],Table2[[#This Row],[Education]])</f>
        <v>645</v>
      </c>
      <c r="AH177">
        <f>SUM(Table2[[#This Row],[Clothing]:[Clothing and footwear]])</f>
        <v>393.9</v>
      </c>
      <c r="AI177">
        <f>SUM(Table2[[#This Row],[Pan, tobacco and intoxicants]],Table2[[#This Row],[Recreation and amusement]],Table2[[#This Row],[Personal care and effects]])</f>
        <v>406.19999999999993</v>
      </c>
    </row>
    <row r="178" spans="1:35" x14ac:dyDescent="0.25">
      <c r="A178" t="s">
        <v>35</v>
      </c>
      <c r="B178">
        <v>2017</v>
      </c>
      <c r="C178" t="s">
        <v>53</v>
      </c>
      <c r="D178" s="2">
        <v>43040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v>153.19999999999999</v>
      </c>
      <c r="S178">
        <v>143</v>
      </c>
      <c r="T178">
        <v>134.80000000000001</v>
      </c>
      <c r="U178">
        <v>141.80000000000001</v>
      </c>
      <c r="V178"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  <c r="AF178">
        <f>SUM(Table2[[#This Row],[Cereals and products]:[Food and beverages]])</f>
        <v>1808.2</v>
      </c>
      <c r="AG178">
        <f>SUM(Table2[[#This Row],[Housing]:[Household goods and services]],Table2[[#This Row],[Transport and communication]],Table2[[#This Row],[Education]])</f>
        <v>665.19999999999993</v>
      </c>
      <c r="AH178">
        <f>SUM(Table2[[#This Row],[Clothing]:[Clothing and footwear]])</f>
        <v>419.6</v>
      </c>
      <c r="AI178">
        <f>SUM(Table2[[#This Row],[Pan, tobacco and intoxicants]],Table2[[#This Row],[Recreation and amusement]],Table2[[#This Row],[Personal care and effects]])</f>
        <v>408.90000000000003</v>
      </c>
    </row>
    <row r="179" spans="1:35" x14ac:dyDescent="0.25">
      <c r="A179" t="s">
        <v>30</v>
      </c>
      <c r="B179">
        <v>2017</v>
      </c>
      <c r="C179" t="s">
        <v>55</v>
      </c>
      <c r="D179" s="2">
        <v>43070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v>153.19999999999999</v>
      </c>
      <c r="S179">
        <v>148</v>
      </c>
      <c r="T179">
        <v>141.9</v>
      </c>
      <c r="U179">
        <v>147.19999999999999</v>
      </c>
      <c r="V179">
        <v>139.1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  <c r="AF179">
        <f>SUM(Table2[[#This Row],[Cereals and products]:[Food and beverages]])</f>
        <v>1813.6000000000001</v>
      </c>
      <c r="AG179">
        <f>SUM(Table2[[#This Row],[Housing]:[Household goods and services]],Table2[[#This Row],[Transport and communication]],Table2[[#This Row],[Education]])</f>
        <v>684.30000000000007</v>
      </c>
      <c r="AH179">
        <f>SUM(Table2[[#This Row],[Clothing]:[Clothing and footwear]])</f>
        <v>437.09999999999997</v>
      </c>
      <c r="AI179">
        <f>SUM(Table2[[#This Row],[Pan, tobacco and intoxicants]],Table2[[#This Row],[Recreation and amusement]],Table2[[#This Row],[Personal care and effects]])</f>
        <v>414.40000000000003</v>
      </c>
    </row>
    <row r="180" spans="1:35" x14ac:dyDescent="0.25">
      <c r="A180" t="s">
        <v>33</v>
      </c>
      <c r="B180">
        <v>2017</v>
      </c>
      <c r="C180" t="s">
        <v>55</v>
      </c>
      <c r="D180" s="2">
        <v>43070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v>157</v>
      </c>
      <c r="S180">
        <v>135.6</v>
      </c>
      <c r="T180">
        <v>125.6</v>
      </c>
      <c r="U180">
        <v>134</v>
      </c>
      <c r="V180"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  <c r="AF180">
        <f>SUM(Table2[[#This Row],[Cereals and products]:[Food and beverages]])</f>
        <v>1767.5</v>
      </c>
      <c r="AG180">
        <f>SUM(Table2[[#This Row],[Housing]:[Household goods and services]],Table2[[#This Row],[Transport and communication]],Table2[[#This Row],[Education]])</f>
        <v>647.20000000000005</v>
      </c>
      <c r="AH180">
        <f>SUM(Table2[[#This Row],[Clothing]:[Clothing and footwear]])</f>
        <v>395.2</v>
      </c>
      <c r="AI180">
        <f>SUM(Table2[[#This Row],[Pan, tobacco and intoxicants]],Table2[[#This Row],[Recreation and amusement]],Table2[[#This Row],[Personal care and effects]])</f>
        <v>407.20000000000005</v>
      </c>
    </row>
    <row r="181" spans="1:35" x14ac:dyDescent="0.25">
      <c r="A181" t="s">
        <v>35</v>
      </c>
      <c r="B181">
        <v>2017</v>
      </c>
      <c r="C181" t="s">
        <v>55</v>
      </c>
      <c r="D181" s="2">
        <v>43070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v>154.19999999999999</v>
      </c>
      <c r="S181">
        <v>143.1</v>
      </c>
      <c r="T181">
        <v>135.1</v>
      </c>
      <c r="U181">
        <v>142</v>
      </c>
      <c r="V181"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  <c r="AF181">
        <f>SUM(Table2[[#This Row],[Cereals and products]:[Food and beverages]])</f>
        <v>1794.9999999999998</v>
      </c>
      <c r="AG181">
        <f>SUM(Table2[[#This Row],[Housing]:[Household goods and services]],Table2[[#This Row],[Transport and communication]],Table2[[#This Row],[Education]])</f>
        <v>667.4</v>
      </c>
      <c r="AH181">
        <f>SUM(Table2[[#This Row],[Clothing]:[Clothing and footwear]])</f>
        <v>420.2</v>
      </c>
      <c r="AI181">
        <f>SUM(Table2[[#This Row],[Pan, tobacco and intoxicants]],Table2[[#This Row],[Recreation and amusement]],Table2[[#This Row],[Personal care and effects]])</f>
        <v>409.7</v>
      </c>
    </row>
    <row r="182" spans="1:35" x14ac:dyDescent="0.25">
      <c r="A182" t="s">
        <v>30</v>
      </c>
      <c r="B182">
        <v>2018</v>
      </c>
      <c r="C182" t="s">
        <v>31</v>
      </c>
      <c r="D182" s="2">
        <v>43101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v>153.6</v>
      </c>
      <c r="S182">
        <v>148.30000000000001</v>
      </c>
      <c r="T182">
        <v>142.30000000000001</v>
      </c>
      <c r="U182">
        <v>147.5</v>
      </c>
      <c r="V182">
        <v>140.4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  <c r="AF182">
        <f>SUM(Table2[[#This Row],[Cereals and products]:[Food and beverages]])</f>
        <v>1800.7</v>
      </c>
      <c r="AG182">
        <f>SUM(Table2[[#This Row],[Housing]:[Household goods and services]],Table2[[#This Row],[Transport and communication]],Table2[[#This Row],[Education]])</f>
        <v>686.80000000000007</v>
      </c>
      <c r="AH182">
        <f>SUM(Table2[[#This Row],[Clothing]:[Clothing and footwear]])</f>
        <v>438.1</v>
      </c>
      <c r="AI182">
        <f>SUM(Table2[[#This Row],[Pan, tobacco and intoxicants]],Table2[[#This Row],[Recreation and amusement]],Table2[[#This Row],[Personal care and effects]])</f>
        <v>416.5</v>
      </c>
    </row>
    <row r="183" spans="1:35" x14ac:dyDescent="0.25">
      <c r="A183" t="s">
        <v>33</v>
      </c>
      <c r="B183">
        <v>2018</v>
      </c>
      <c r="C183" t="s">
        <v>31</v>
      </c>
      <c r="D183" s="2">
        <v>43101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v>157.69999999999999</v>
      </c>
      <c r="S183">
        <v>136</v>
      </c>
      <c r="T183">
        <v>125.9</v>
      </c>
      <c r="U183">
        <v>134.4</v>
      </c>
      <c r="V183"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  <c r="AF183">
        <f>SUM(Table2[[#This Row],[Cereals and products]:[Food and beverages]])</f>
        <v>1748.3000000000002</v>
      </c>
      <c r="AG183">
        <f>SUM(Table2[[#This Row],[Housing]:[Household goods and services]],Table2[[#This Row],[Transport and communication]],Table2[[#This Row],[Education]])</f>
        <v>650.6</v>
      </c>
      <c r="AH183">
        <f>SUM(Table2[[#This Row],[Clothing]:[Clothing and footwear]])</f>
        <v>396.29999999999995</v>
      </c>
      <c r="AI183">
        <f>SUM(Table2[[#This Row],[Pan, tobacco and intoxicants]],Table2[[#This Row],[Recreation and amusement]],Table2[[#This Row],[Personal care and effects]])</f>
        <v>409.4</v>
      </c>
    </row>
    <row r="184" spans="1:35" x14ac:dyDescent="0.25">
      <c r="A184" t="s">
        <v>35</v>
      </c>
      <c r="B184">
        <v>2018</v>
      </c>
      <c r="C184" t="s">
        <v>31</v>
      </c>
      <c r="D184" s="2">
        <v>43101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v>154.69999999999999</v>
      </c>
      <c r="S184">
        <v>143.5</v>
      </c>
      <c r="T184">
        <v>135.5</v>
      </c>
      <c r="U184">
        <v>142.30000000000001</v>
      </c>
      <c r="V184"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  <c r="AF184">
        <f>SUM(Table2[[#This Row],[Cereals and products]:[Food and beverages]])</f>
        <v>1779.9</v>
      </c>
      <c r="AG184">
        <f>SUM(Table2[[#This Row],[Housing]:[Household goods and services]],Table2[[#This Row],[Transport and communication]],Table2[[#This Row],[Education]])</f>
        <v>670.19999999999993</v>
      </c>
      <c r="AH184">
        <f>SUM(Table2[[#This Row],[Clothing]:[Clothing and footwear]])</f>
        <v>421.3</v>
      </c>
      <c r="AI184">
        <f>SUM(Table2[[#This Row],[Pan, tobacco and intoxicants]],Table2[[#This Row],[Recreation and amusement]],Table2[[#This Row],[Personal care and effects]])</f>
        <v>411.7</v>
      </c>
    </row>
    <row r="185" spans="1:35" x14ac:dyDescent="0.25">
      <c r="A185" t="s">
        <v>30</v>
      </c>
      <c r="B185">
        <v>2018</v>
      </c>
      <c r="C185" t="s">
        <v>36</v>
      </c>
      <c r="D185" s="2">
        <v>43132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v>153.30000000000001</v>
      </c>
      <c r="S185">
        <v>148.69999999999999</v>
      </c>
      <c r="T185">
        <v>142.4</v>
      </c>
      <c r="U185">
        <v>147.80000000000001</v>
      </c>
      <c r="V185">
        <v>141.30000000000001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  <c r="AF185">
        <f>SUM(Table2[[#This Row],[Cereals and products]:[Food and beverages]])</f>
        <v>1781.5</v>
      </c>
      <c r="AG185">
        <f>SUM(Table2[[#This Row],[Housing]:[Household goods and services]],Table2[[#This Row],[Transport and communication]],Table2[[#This Row],[Education]])</f>
        <v>688.4</v>
      </c>
      <c r="AH185">
        <f>SUM(Table2[[#This Row],[Clothing]:[Clothing and footwear]])</f>
        <v>438.90000000000003</v>
      </c>
      <c r="AI185">
        <f>SUM(Table2[[#This Row],[Pan, tobacco and intoxicants]],Table2[[#This Row],[Recreation and amusement]],Table2[[#This Row],[Personal care and effects]])</f>
        <v>416.40000000000003</v>
      </c>
    </row>
    <row r="186" spans="1:35" x14ac:dyDescent="0.25">
      <c r="A186" t="s">
        <v>33</v>
      </c>
      <c r="B186">
        <v>2018</v>
      </c>
      <c r="C186" t="s">
        <v>36</v>
      </c>
      <c r="D186" s="2">
        <v>43132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v>159.30000000000001</v>
      </c>
      <c r="S186">
        <v>136.30000000000001</v>
      </c>
      <c r="T186">
        <v>126.1</v>
      </c>
      <c r="U186">
        <v>134.69999999999999</v>
      </c>
      <c r="V186"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  <c r="AF186">
        <f>SUM(Table2[[#This Row],[Cereals and products]:[Food and beverages]])</f>
        <v>1727.9</v>
      </c>
      <c r="AG186">
        <f>SUM(Table2[[#This Row],[Housing]:[Household goods and services]],Table2[[#This Row],[Transport and communication]],Table2[[#This Row],[Education]])</f>
        <v>653.09999999999991</v>
      </c>
      <c r="AH186">
        <f>SUM(Table2[[#This Row],[Clothing]:[Clothing and footwear]])</f>
        <v>397.09999999999997</v>
      </c>
      <c r="AI186">
        <f>SUM(Table2[[#This Row],[Pan, tobacco and intoxicants]],Table2[[#This Row],[Recreation and amusement]],Table2[[#This Row],[Personal care and effects]])</f>
        <v>412</v>
      </c>
    </row>
    <row r="187" spans="1:35" x14ac:dyDescent="0.25">
      <c r="A187" t="s">
        <v>35</v>
      </c>
      <c r="B187">
        <v>2018</v>
      </c>
      <c r="C187" t="s">
        <v>36</v>
      </c>
      <c r="D187" s="2">
        <v>43132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v>154.9</v>
      </c>
      <c r="S187">
        <v>143.80000000000001</v>
      </c>
      <c r="T187">
        <v>135.6</v>
      </c>
      <c r="U187">
        <v>142.6</v>
      </c>
      <c r="V187"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  <c r="AF187">
        <f>SUM(Table2[[#This Row],[Cereals and products]:[Food and beverages]])</f>
        <v>1760.3999999999996</v>
      </c>
      <c r="AG187">
        <f>SUM(Table2[[#This Row],[Housing]:[Household goods and services]],Table2[[#This Row],[Transport and communication]],Table2[[#This Row],[Education]])</f>
        <v>672.4</v>
      </c>
      <c r="AH187">
        <f>SUM(Table2[[#This Row],[Clothing]:[Clothing and footwear]])</f>
        <v>422</v>
      </c>
      <c r="AI187">
        <f>SUM(Table2[[#This Row],[Pan, tobacco and intoxicants]],Table2[[#This Row],[Recreation and amusement]],Table2[[#This Row],[Personal care and effects]])</f>
        <v>412.5</v>
      </c>
    </row>
    <row r="188" spans="1:35" x14ac:dyDescent="0.25">
      <c r="A188" t="s">
        <v>30</v>
      </c>
      <c r="B188">
        <v>2018</v>
      </c>
      <c r="C188" t="s">
        <v>38</v>
      </c>
      <c r="D188" s="2">
        <v>43160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v>155.1</v>
      </c>
      <c r="S188">
        <v>149.19999999999999</v>
      </c>
      <c r="T188">
        <v>143</v>
      </c>
      <c r="U188">
        <v>148.30000000000001</v>
      </c>
      <c r="V188">
        <v>142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  <c r="AF188">
        <f>SUM(Table2[[#This Row],[Cereals and products]:[Food and beverages]])</f>
        <v>1781.9999999999998</v>
      </c>
      <c r="AG188">
        <f>SUM(Table2[[#This Row],[Housing]:[Household goods and services]],Table2[[#This Row],[Transport and communication]],Table2[[#This Row],[Education]])</f>
        <v>691.8</v>
      </c>
      <c r="AH188">
        <f>SUM(Table2[[#This Row],[Clothing]:[Clothing and footwear]])</f>
        <v>440.5</v>
      </c>
      <c r="AI188">
        <f>SUM(Table2[[#This Row],[Pan, tobacco and intoxicants]],Table2[[#This Row],[Recreation and amusement]],Table2[[#This Row],[Personal care and effects]])</f>
        <v>419.5</v>
      </c>
    </row>
    <row r="189" spans="1:35" x14ac:dyDescent="0.25">
      <c r="A189" t="s">
        <v>33</v>
      </c>
      <c r="B189">
        <v>2018</v>
      </c>
      <c r="C189" t="s">
        <v>38</v>
      </c>
      <c r="D189" s="2">
        <v>43160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v>159.69999999999999</v>
      </c>
      <c r="S189">
        <v>136.69999999999999</v>
      </c>
      <c r="T189">
        <v>126.7</v>
      </c>
      <c r="U189">
        <v>135.19999999999999</v>
      </c>
      <c r="V189"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  <c r="AF189">
        <f>SUM(Table2[[#This Row],[Cereals and products]:[Food and beverages]])</f>
        <v>1715.5</v>
      </c>
      <c r="AG189">
        <f>SUM(Table2[[#This Row],[Housing]:[Household goods and services]],Table2[[#This Row],[Transport and communication]],Table2[[#This Row],[Education]])</f>
        <v>654.79999999999995</v>
      </c>
      <c r="AH189">
        <f>SUM(Table2[[#This Row],[Clothing]:[Clothing and footwear]])</f>
        <v>398.59999999999997</v>
      </c>
      <c r="AI189">
        <f>SUM(Table2[[#This Row],[Pan, tobacco and intoxicants]],Table2[[#This Row],[Recreation and amusement]],Table2[[#This Row],[Personal care and effects]])</f>
        <v>413.2</v>
      </c>
    </row>
    <row r="190" spans="1:35" x14ac:dyDescent="0.25">
      <c r="A190" t="s">
        <v>35</v>
      </c>
      <c r="B190">
        <v>2018</v>
      </c>
      <c r="C190" t="s">
        <v>38</v>
      </c>
      <c r="D190" s="2">
        <v>43160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v>156.30000000000001</v>
      </c>
      <c r="S190">
        <v>144.30000000000001</v>
      </c>
      <c r="T190">
        <v>136.19999999999999</v>
      </c>
      <c r="U190">
        <v>143.1</v>
      </c>
      <c r="V190"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  <c r="AF190">
        <f>SUM(Table2[[#This Row],[Cereals and products]:[Food and beverages]])</f>
        <v>1756</v>
      </c>
      <c r="AG190">
        <f>SUM(Table2[[#This Row],[Housing]:[Household goods and services]],Table2[[#This Row],[Transport and communication]],Table2[[#This Row],[Education]])</f>
        <v>674.90000000000009</v>
      </c>
      <c r="AH190">
        <f>SUM(Table2[[#This Row],[Clothing]:[Clothing and footwear]])</f>
        <v>423.6</v>
      </c>
      <c r="AI190">
        <f>SUM(Table2[[#This Row],[Pan, tobacco and intoxicants]],Table2[[#This Row],[Recreation and amusement]],Table2[[#This Row],[Personal care and effects]])</f>
        <v>414.90000000000003</v>
      </c>
    </row>
    <row r="191" spans="1:35" x14ac:dyDescent="0.25">
      <c r="A191" t="s">
        <v>30</v>
      </c>
      <c r="B191">
        <v>2018</v>
      </c>
      <c r="C191" t="s">
        <v>39</v>
      </c>
      <c r="D191" s="2">
        <v>43191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v>156.1</v>
      </c>
      <c r="S191">
        <v>150.1</v>
      </c>
      <c r="T191">
        <v>143.30000000000001</v>
      </c>
      <c r="U191">
        <v>149.1</v>
      </c>
      <c r="V191">
        <v>142.9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  <c r="AF191">
        <f>SUM(Table2[[#This Row],[Cereals and products]:[Food and beverages]])</f>
        <v>1780</v>
      </c>
      <c r="AG191">
        <f>SUM(Table2[[#This Row],[Housing]:[Household goods and services]],Table2[[#This Row],[Transport and communication]],Table2[[#This Row],[Education]])</f>
        <v>696.59999999999991</v>
      </c>
      <c r="AH191">
        <f>SUM(Table2[[#This Row],[Clothing]:[Clothing and footwear]])</f>
        <v>442.5</v>
      </c>
      <c r="AI191">
        <f>SUM(Table2[[#This Row],[Pan, tobacco and intoxicants]],Table2[[#This Row],[Recreation and amusement]],Table2[[#This Row],[Personal care and effects]])</f>
        <v>422.5</v>
      </c>
    </row>
    <row r="192" spans="1:35" x14ac:dyDescent="0.25">
      <c r="A192" t="s">
        <v>33</v>
      </c>
      <c r="B192">
        <v>2018</v>
      </c>
      <c r="C192" t="s">
        <v>39</v>
      </c>
      <c r="D192" s="2">
        <v>43191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v>159.19999999999999</v>
      </c>
      <c r="S192">
        <v>137.80000000000001</v>
      </c>
      <c r="T192">
        <v>127.4</v>
      </c>
      <c r="U192">
        <v>136.19999999999999</v>
      </c>
      <c r="V192"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  <c r="AF192">
        <f>SUM(Table2[[#This Row],[Cereals and products]:[Food and beverages]])</f>
        <v>1720.0000000000002</v>
      </c>
      <c r="AG192">
        <f>SUM(Table2[[#This Row],[Housing]:[Household goods and services]],Table2[[#This Row],[Transport and communication]],Table2[[#This Row],[Education]])</f>
        <v>657.90000000000009</v>
      </c>
      <c r="AH192">
        <f>SUM(Table2[[#This Row],[Clothing]:[Clothing and footwear]])</f>
        <v>401.40000000000003</v>
      </c>
      <c r="AI192">
        <f>SUM(Table2[[#This Row],[Pan, tobacco and intoxicants]],Table2[[#This Row],[Recreation and amusement]],Table2[[#This Row],[Personal care and effects]])</f>
        <v>414.4</v>
      </c>
    </row>
    <row r="193" spans="1:35" x14ac:dyDescent="0.25">
      <c r="A193" t="s">
        <v>35</v>
      </c>
      <c r="B193">
        <v>2018</v>
      </c>
      <c r="C193" t="s">
        <v>39</v>
      </c>
      <c r="D193" s="2">
        <v>43191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v>156.9</v>
      </c>
      <c r="S193">
        <v>145.30000000000001</v>
      </c>
      <c r="T193">
        <v>136.69999999999999</v>
      </c>
      <c r="U193">
        <v>144</v>
      </c>
      <c r="V193"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  <c r="AF193">
        <f>SUM(Table2[[#This Row],[Cereals and products]:[Food and beverages]])</f>
        <v>1757.1000000000001</v>
      </c>
      <c r="AG193">
        <f>SUM(Table2[[#This Row],[Housing]:[Household goods and services]],Table2[[#This Row],[Transport and communication]],Table2[[#This Row],[Education]])</f>
        <v>679.3</v>
      </c>
      <c r="AH193">
        <f>SUM(Table2[[#This Row],[Clothing]:[Clothing and footwear]])</f>
        <v>426</v>
      </c>
      <c r="AI193">
        <f>SUM(Table2[[#This Row],[Pan, tobacco and intoxicants]],Table2[[#This Row],[Recreation and amusement]],Table2[[#This Row],[Personal care and effects]])</f>
        <v>417.40000000000003</v>
      </c>
    </row>
    <row r="194" spans="1:35" x14ac:dyDescent="0.25">
      <c r="A194" t="s">
        <v>30</v>
      </c>
      <c r="B194">
        <v>2018</v>
      </c>
      <c r="C194" t="s">
        <v>41</v>
      </c>
      <c r="D194" s="2">
        <v>43221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v>157</v>
      </c>
      <c r="S194">
        <v>150.80000000000001</v>
      </c>
      <c r="T194">
        <v>144.1</v>
      </c>
      <c r="U194">
        <v>149.80000000000001</v>
      </c>
      <c r="V194">
        <v>143.19999999999999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  <c r="AF194">
        <f>SUM(Table2[[#This Row],[Cereals and products]:[Food and beverages]])</f>
        <v>1782.4</v>
      </c>
      <c r="AG194">
        <f>SUM(Table2[[#This Row],[Housing]:[Household goods and services]],Table2[[#This Row],[Transport and communication]],Table2[[#This Row],[Education]])</f>
        <v>700.1</v>
      </c>
      <c r="AH194">
        <f>SUM(Table2[[#This Row],[Clothing]:[Clothing and footwear]])</f>
        <v>444.7</v>
      </c>
      <c r="AI194">
        <f>SUM(Table2[[#This Row],[Pan, tobacco and intoxicants]],Table2[[#This Row],[Recreation and amusement]],Table2[[#This Row],[Personal care and effects]])</f>
        <v>425</v>
      </c>
    </row>
    <row r="195" spans="1:35" x14ac:dyDescent="0.25">
      <c r="A195" t="s">
        <v>33</v>
      </c>
      <c r="B195">
        <v>2018</v>
      </c>
      <c r="C195" t="s">
        <v>41</v>
      </c>
      <c r="D195" s="2">
        <v>43221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v>160.30000000000001</v>
      </c>
      <c r="S195">
        <v>138.6</v>
      </c>
      <c r="T195">
        <v>127.9</v>
      </c>
      <c r="U195">
        <v>137</v>
      </c>
      <c r="V195"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  <c r="AF195">
        <f>SUM(Table2[[#This Row],[Cereals and products]:[Food and beverages]])</f>
        <v>1722.8999999999999</v>
      </c>
      <c r="AG195">
        <f>SUM(Table2[[#This Row],[Housing]:[Household goods and services]],Table2[[#This Row],[Transport and communication]],Table2[[#This Row],[Education]])</f>
        <v>660.59999999999991</v>
      </c>
      <c r="AH195">
        <f>SUM(Table2[[#This Row],[Clothing]:[Clothing and footwear]])</f>
        <v>403.5</v>
      </c>
      <c r="AI195">
        <f>SUM(Table2[[#This Row],[Pan, tobacco and intoxicants]],Table2[[#This Row],[Recreation and amusement]],Table2[[#This Row],[Personal care and effects]])</f>
        <v>416.4</v>
      </c>
    </row>
    <row r="196" spans="1:35" x14ac:dyDescent="0.25">
      <c r="A196" t="s">
        <v>35</v>
      </c>
      <c r="B196">
        <v>2018</v>
      </c>
      <c r="C196" t="s">
        <v>41</v>
      </c>
      <c r="D196" s="2">
        <v>43221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v>157.9</v>
      </c>
      <c r="S196">
        <v>146</v>
      </c>
      <c r="T196">
        <v>137.4</v>
      </c>
      <c r="U196">
        <v>144.69999999999999</v>
      </c>
      <c r="V196"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  <c r="AF196">
        <f>SUM(Table2[[#This Row],[Cereals and products]:[Food and beverages]])</f>
        <v>1759.8</v>
      </c>
      <c r="AG196">
        <f>SUM(Table2[[#This Row],[Housing]:[Household goods and services]],Table2[[#This Row],[Transport and communication]],Table2[[#This Row],[Education]])</f>
        <v>682.5</v>
      </c>
      <c r="AH196">
        <f>SUM(Table2[[#This Row],[Clothing]:[Clothing and footwear]])</f>
        <v>428.09999999999997</v>
      </c>
      <c r="AI196">
        <f>SUM(Table2[[#This Row],[Pan, tobacco and intoxicants]],Table2[[#This Row],[Recreation and amusement]],Table2[[#This Row],[Personal care and effects]])</f>
        <v>419.6</v>
      </c>
    </row>
    <row r="197" spans="1:35" x14ac:dyDescent="0.25">
      <c r="A197" t="s">
        <v>30</v>
      </c>
      <c r="B197">
        <v>2018</v>
      </c>
      <c r="C197" t="s">
        <v>42</v>
      </c>
      <c r="D197" s="2">
        <v>43252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V197">
        <v>142.5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  <c r="AF197">
        <f>SUM(Table2[[#This Row],[Cereals and products]:[Food and beverages]])</f>
        <v>1790.2999999999997</v>
      </c>
      <c r="AG197">
        <f>SUM(Table2[[#This Row],[Housing]:[Household goods and services]],Table2[[#This Row],[Transport and communication]],Table2[[#This Row],[Education]])</f>
        <v>702.30000000000007</v>
      </c>
      <c r="AH197">
        <f>SUM(Table2[[#This Row],[Clothing]:[Clothing and footwear]])</f>
        <v>446.3</v>
      </c>
      <c r="AI197">
        <f>SUM(Table2[[#This Row],[Pan, tobacco and intoxicants]],Table2[[#This Row],[Recreation and amusement]],Table2[[#This Row],[Personal care and effects]])</f>
        <v>426.5</v>
      </c>
    </row>
    <row r="198" spans="1:35" x14ac:dyDescent="0.25">
      <c r="A198" t="s">
        <v>33</v>
      </c>
      <c r="B198">
        <v>2018</v>
      </c>
      <c r="C198" t="s">
        <v>42</v>
      </c>
      <c r="D198" s="2">
        <v>43252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v>161</v>
      </c>
      <c r="S198">
        <v>138.9</v>
      </c>
      <c r="T198">
        <v>128.69999999999999</v>
      </c>
      <c r="U198">
        <v>137.4</v>
      </c>
      <c r="V198"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  <c r="AF198">
        <f>SUM(Table2[[#This Row],[Cereals and products]:[Food and beverages]])</f>
        <v>1747.3000000000002</v>
      </c>
      <c r="AG198">
        <f>SUM(Table2[[#This Row],[Housing]:[Household goods and services]],Table2[[#This Row],[Transport and communication]],Table2[[#This Row],[Education]])</f>
        <v>663.7</v>
      </c>
      <c r="AH198">
        <f>SUM(Table2[[#This Row],[Clothing]:[Clothing and footwear]])</f>
        <v>405</v>
      </c>
      <c r="AI198">
        <f>SUM(Table2[[#This Row],[Pan, tobacco and intoxicants]],Table2[[#This Row],[Recreation and amusement]],Table2[[#This Row],[Personal care and effects]])</f>
        <v>417.7</v>
      </c>
    </row>
    <row r="199" spans="1:35" x14ac:dyDescent="0.25">
      <c r="A199" t="s">
        <v>35</v>
      </c>
      <c r="B199">
        <v>2018</v>
      </c>
      <c r="C199" t="s">
        <v>42</v>
      </c>
      <c r="D199" s="2">
        <v>43252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v>158.30000000000001</v>
      </c>
      <c r="S199">
        <v>146.4</v>
      </c>
      <c r="T199">
        <v>138.1</v>
      </c>
      <c r="U199">
        <v>145.19999999999999</v>
      </c>
      <c r="V199"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  <c r="AF199">
        <f>SUM(Table2[[#This Row],[Cereals and products]:[Food and beverages]])</f>
        <v>1774.1000000000001</v>
      </c>
      <c r="AG199">
        <f>SUM(Table2[[#This Row],[Housing]:[Household goods and services]],Table2[[#This Row],[Transport and communication]],Table2[[#This Row],[Education]])</f>
        <v>685</v>
      </c>
      <c r="AH199">
        <f>SUM(Table2[[#This Row],[Clothing]:[Clothing and footwear]])</f>
        <v>429.7</v>
      </c>
      <c r="AI199">
        <f>SUM(Table2[[#This Row],[Pan, tobacco and intoxicants]],Table2[[#This Row],[Recreation and amusement]],Table2[[#This Row],[Personal care and effects]])</f>
        <v>421</v>
      </c>
    </row>
    <row r="200" spans="1:35" x14ac:dyDescent="0.25">
      <c r="A200" t="s">
        <v>30</v>
      </c>
      <c r="B200">
        <v>2018</v>
      </c>
      <c r="C200" t="s">
        <v>44</v>
      </c>
      <c r="D200" s="2">
        <v>43282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v>156.1</v>
      </c>
      <c r="S200">
        <v>151.5</v>
      </c>
      <c r="T200">
        <v>145.1</v>
      </c>
      <c r="U200">
        <v>150.6</v>
      </c>
      <c r="V200">
        <v>143.6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  <c r="AF200">
        <f>SUM(Table2[[#This Row],[Cereals and products]:[Food and beverages]])</f>
        <v>1810.5000000000002</v>
      </c>
      <c r="AG200">
        <f>SUM(Table2[[#This Row],[Housing]:[Household goods and services]],Table2[[#This Row],[Transport and communication]],Table2[[#This Row],[Education]])</f>
        <v>706.8</v>
      </c>
      <c r="AH200">
        <f>SUM(Table2[[#This Row],[Clothing]:[Clothing and footwear]])</f>
        <v>447.20000000000005</v>
      </c>
      <c r="AI200">
        <f>SUM(Table2[[#This Row],[Pan, tobacco and intoxicants]],Table2[[#This Row],[Recreation and amusement]],Table2[[#This Row],[Personal care and effects]])</f>
        <v>425.9</v>
      </c>
    </row>
    <row r="201" spans="1:35" x14ac:dyDescent="0.25">
      <c r="A201" t="s">
        <v>33</v>
      </c>
      <c r="B201">
        <v>2018</v>
      </c>
      <c r="C201" t="s">
        <v>44</v>
      </c>
      <c r="D201" s="2">
        <v>43282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v>161.4</v>
      </c>
      <c r="S201">
        <v>139.6</v>
      </c>
      <c r="T201">
        <v>128.9</v>
      </c>
      <c r="U201">
        <v>137.9</v>
      </c>
      <c r="V201"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  <c r="AF201">
        <f>SUM(Table2[[#This Row],[Cereals and products]:[Food and beverages]])</f>
        <v>1771.1</v>
      </c>
      <c r="AG201">
        <f>SUM(Table2[[#This Row],[Housing]:[Household goods and services]],Table2[[#This Row],[Transport and communication]],Table2[[#This Row],[Education]])</f>
        <v>669.4</v>
      </c>
      <c r="AH201">
        <f>SUM(Table2[[#This Row],[Clothing]:[Clothing and footwear]])</f>
        <v>406.4</v>
      </c>
      <c r="AI201">
        <f>SUM(Table2[[#This Row],[Pan, tobacco and intoxicants]],Table2[[#This Row],[Recreation and amusement]],Table2[[#This Row],[Personal care and effects]])</f>
        <v>418.59999999999997</v>
      </c>
    </row>
    <row r="202" spans="1:35" x14ac:dyDescent="0.25">
      <c r="A202" t="s">
        <v>35</v>
      </c>
      <c r="B202">
        <v>2018</v>
      </c>
      <c r="C202" t="s">
        <v>44</v>
      </c>
      <c r="D202" s="2">
        <v>43282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v>157.5</v>
      </c>
      <c r="S202">
        <v>146.80000000000001</v>
      </c>
      <c r="T202">
        <v>138.4</v>
      </c>
      <c r="U202">
        <v>145.6</v>
      </c>
      <c r="V202"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  <c r="AF202">
        <f>SUM(Table2[[#This Row],[Cereals and products]:[Food and beverages]])</f>
        <v>1795.3</v>
      </c>
      <c r="AG202">
        <f>SUM(Table2[[#This Row],[Housing]:[Household goods and services]],Table2[[#This Row],[Transport and communication]],Table2[[#This Row],[Education]])</f>
        <v>690.2</v>
      </c>
      <c r="AH202">
        <f>SUM(Table2[[#This Row],[Clothing]:[Clothing and footwear]])</f>
        <v>430.80000000000007</v>
      </c>
      <c r="AI202">
        <f>SUM(Table2[[#This Row],[Pan, tobacco and intoxicants]],Table2[[#This Row],[Recreation and amusement]],Table2[[#This Row],[Personal care and effects]])</f>
        <v>420.70000000000005</v>
      </c>
    </row>
    <row r="203" spans="1:35" x14ac:dyDescent="0.25">
      <c r="A203" t="s">
        <v>30</v>
      </c>
      <c r="B203">
        <v>2018</v>
      </c>
      <c r="C203" t="s">
        <v>46</v>
      </c>
      <c r="D203" s="2">
        <v>43313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v>156.4</v>
      </c>
      <c r="S203">
        <v>152.1</v>
      </c>
      <c r="T203">
        <v>145.80000000000001</v>
      </c>
      <c r="U203">
        <v>151.30000000000001</v>
      </c>
      <c r="V203">
        <v>144.6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  <c r="AF203">
        <f>SUM(Table2[[#This Row],[Cereals and products]:[Food and beverages]])</f>
        <v>1818.8</v>
      </c>
      <c r="AG203">
        <f>SUM(Table2[[#This Row],[Housing]:[Household goods and services]],Table2[[#This Row],[Transport and communication]],Table2[[#This Row],[Education]])</f>
        <v>711.3</v>
      </c>
      <c r="AH203">
        <f>SUM(Table2[[#This Row],[Clothing]:[Clothing and footwear]])</f>
        <v>449.2</v>
      </c>
      <c r="AI203">
        <f>SUM(Table2[[#This Row],[Pan, tobacco and intoxicants]],Table2[[#This Row],[Recreation and amusement]],Table2[[#This Row],[Personal care and effects]])</f>
        <v>426.3</v>
      </c>
    </row>
    <row r="204" spans="1:35" x14ac:dyDescent="0.25">
      <c r="A204" t="s">
        <v>33</v>
      </c>
      <c r="B204">
        <v>2018</v>
      </c>
      <c r="C204" t="s">
        <v>46</v>
      </c>
      <c r="D204" s="2">
        <v>43313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v>162.1</v>
      </c>
      <c r="S204">
        <v>140</v>
      </c>
      <c r="T204">
        <v>129</v>
      </c>
      <c r="U204">
        <v>138.30000000000001</v>
      </c>
      <c r="V204"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  <c r="AF204">
        <f>SUM(Table2[[#This Row],[Cereals and products]:[Food and beverages]])</f>
        <v>1767.6</v>
      </c>
      <c r="AG204">
        <f>SUM(Table2[[#This Row],[Housing]:[Household goods and services]],Table2[[#This Row],[Transport and communication]],Table2[[#This Row],[Education]])</f>
        <v>674.8</v>
      </c>
      <c r="AH204">
        <f>SUM(Table2[[#This Row],[Clothing]:[Clothing and footwear]])</f>
        <v>407.3</v>
      </c>
      <c r="AI204">
        <f>SUM(Table2[[#This Row],[Pan, tobacco and intoxicants]],Table2[[#This Row],[Recreation and amusement]],Table2[[#This Row],[Personal care and effects]])</f>
        <v>420.2</v>
      </c>
    </row>
    <row r="205" spans="1:35" x14ac:dyDescent="0.25">
      <c r="A205" t="s">
        <v>35</v>
      </c>
      <c r="B205">
        <v>2018</v>
      </c>
      <c r="C205" t="s">
        <v>46</v>
      </c>
      <c r="D205" s="2">
        <v>43313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v>157.9</v>
      </c>
      <c r="S205">
        <v>147.30000000000001</v>
      </c>
      <c r="T205">
        <v>138.80000000000001</v>
      </c>
      <c r="U205">
        <v>146.1</v>
      </c>
      <c r="V205"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  <c r="AF205">
        <f>SUM(Table2[[#This Row],[Cereals and products]:[Food and beverages]])</f>
        <v>1798.7000000000003</v>
      </c>
      <c r="AG205">
        <f>SUM(Table2[[#This Row],[Housing]:[Household goods and services]],Table2[[#This Row],[Transport and communication]],Table2[[#This Row],[Education]])</f>
        <v>695.19999999999993</v>
      </c>
      <c r="AH205">
        <f>SUM(Table2[[#This Row],[Clothing]:[Clothing and footwear]])</f>
        <v>432.20000000000005</v>
      </c>
      <c r="AI205">
        <f>SUM(Table2[[#This Row],[Pan, tobacco and intoxicants]],Table2[[#This Row],[Recreation and amusement]],Table2[[#This Row],[Personal care and effects]])</f>
        <v>421.6</v>
      </c>
    </row>
    <row r="206" spans="1:35" x14ac:dyDescent="0.25">
      <c r="A206" t="s">
        <v>30</v>
      </c>
      <c r="B206">
        <v>2018</v>
      </c>
      <c r="C206" t="s">
        <v>48</v>
      </c>
      <c r="D206" s="2">
        <v>43344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v>157.69999999999999</v>
      </c>
      <c r="S206">
        <v>152.1</v>
      </c>
      <c r="T206">
        <v>146.1</v>
      </c>
      <c r="U206">
        <v>151.30000000000001</v>
      </c>
      <c r="V206">
        <v>145.30000000000001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  <c r="AF206">
        <f>SUM(Table2[[#This Row],[Cereals and products]:[Food and beverages]])</f>
        <v>1799.8000000000002</v>
      </c>
      <c r="AG206">
        <f>SUM(Table2[[#This Row],[Housing]:[Household goods and services]],Table2[[#This Row],[Transport and communication]],Table2[[#This Row],[Education]])</f>
        <v>715.80000000000007</v>
      </c>
      <c r="AH206">
        <f>SUM(Table2[[#This Row],[Clothing]:[Clothing and footwear]])</f>
        <v>449.5</v>
      </c>
      <c r="AI206">
        <f>SUM(Table2[[#This Row],[Pan, tobacco and intoxicants]],Table2[[#This Row],[Recreation and amusement]],Table2[[#This Row],[Personal care and effects]])</f>
        <v>429.7</v>
      </c>
    </row>
    <row r="207" spans="1:35" x14ac:dyDescent="0.25">
      <c r="A207" t="s">
        <v>33</v>
      </c>
      <c r="B207">
        <v>2018</v>
      </c>
      <c r="C207" t="s">
        <v>48</v>
      </c>
      <c r="D207" s="2">
        <v>43344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v>163.30000000000001</v>
      </c>
      <c r="S207">
        <v>140.80000000000001</v>
      </c>
      <c r="T207">
        <v>129.30000000000001</v>
      </c>
      <c r="U207">
        <v>139.1</v>
      </c>
      <c r="V207"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  <c r="AF207">
        <f>SUM(Table2[[#This Row],[Cereals and products]:[Food and beverages]])</f>
        <v>1748.4</v>
      </c>
      <c r="AG207">
        <f>SUM(Table2[[#This Row],[Housing]:[Household goods and services]],Table2[[#This Row],[Transport and communication]],Table2[[#This Row],[Education]])</f>
        <v>679.09999999999991</v>
      </c>
      <c r="AH207">
        <f>SUM(Table2[[#This Row],[Clothing]:[Clothing and footwear]])</f>
        <v>409.20000000000005</v>
      </c>
      <c r="AI207">
        <f>SUM(Table2[[#This Row],[Pan, tobacco and intoxicants]],Table2[[#This Row],[Recreation and amusement]],Table2[[#This Row],[Personal care and effects]])</f>
        <v>422.8</v>
      </c>
    </row>
    <row r="208" spans="1:35" x14ac:dyDescent="0.25">
      <c r="A208" t="s">
        <v>35</v>
      </c>
      <c r="B208">
        <v>2018</v>
      </c>
      <c r="C208" t="s">
        <v>48</v>
      </c>
      <c r="D208" s="2">
        <v>43344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v>159.19999999999999</v>
      </c>
      <c r="S208">
        <v>147.69999999999999</v>
      </c>
      <c r="T208">
        <v>139.1</v>
      </c>
      <c r="U208">
        <v>146.5</v>
      </c>
      <c r="V208"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  <c r="AF208">
        <f>SUM(Table2[[#This Row],[Cereals and products]:[Food and beverages]])</f>
        <v>1779.5</v>
      </c>
      <c r="AG208">
        <f>SUM(Table2[[#This Row],[Housing]:[Household goods and services]],Table2[[#This Row],[Transport and communication]],Table2[[#This Row],[Education]])</f>
        <v>699.5</v>
      </c>
      <c r="AH208">
        <f>SUM(Table2[[#This Row],[Clothing]:[Clothing and footwear]])</f>
        <v>433.29999999999995</v>
      </c>
      <c r="AI208">
        <f>SUM(Table2[[#This Row],[Pan, tobacco and intoxicants]],Table2[[#This Row],[Recreation and amusement]],Table2[[#This Row],[Personal care and effects]])</f>
        <v>424.6</v>
      </c>
    </row>
    <row r="209" spans="1:35" x14ac:dyDescent="0.25">
      <c r="A209" t="s">
        <v>30</v>
      </c>
      <c r="B209">
        <v>2018</v>
      </c>
      <c r="C209" t="s">
        <v>50</v>
      </c>
      <c r="D209" s="2">
        <v>43374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v>159.6</v>
      </c>
      <c r="S209">
        <v>150.69999999999999</v>
      </c>
      <c r="T209">
        <v>144.5</v>
      </c>
      <c r="U209">
        <v>149.80000000000001</v>
      </c>
      <c r="V209">
        <v>146.60000000000002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  <c r="AF209">
        <f>SUM(Table2[[#This Row],[Cereals and products]:[Food and beverages]])</f>
        <v>1782.2</v>
      </c>
      <c r="AG209">
        <f>SUM(Table2[[#This Row],[Housing]:[Household goods and services]],Table2[[#This Row],[Transport and communication]],Table2[[#This Row],[Education]])</f>
        <v>722.6</v>
      </c>
      <c r="AH209">
        <f>SUM(Table2[[#This Row],[Clothing]:[Clothing and footwear]])</f>
        <v>445</v>
      </c>
      <c r="AI209">
        <f>SUM(Table2[[#This Row],[Pan, tobacco and intoxicants]],Table2[[#This Row],[Recreation and amusement]],Table2[[#This Row],[Personal care and effects]])</f>
        <v>434.1</v>
      </c>
    </row>
    <row r="210" spans="1:35" x14ac:dyDescent="0.25">
      <c r="A210" t="s">
        <v>33</v>
      </c>
      <c r="B210">
        <v>2018</v>
      </c>
      <c r="C210" t="s">
        <v>50</v>
      </c>
      <c r="D210" s="2">
        <v>43374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v>164</v>
      </c>
      <c r="S210">
        <v>141.5</v>
      </c>
      <c r="T210">
        <v>129.80000000000001</v>
      </c>
      <c r="U210">
        <v>139.69999999999999</v>
      </c>
      <c r="V210">
        <v>146.30000000000001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  <c r="AF210">
        <f>SUM(Table2[[#This Row],[Cereals and products]:[Food and beverages]])</f>
        <v>1754.1</v>
      </c>
      <c r="AG210">
        <f>SUM(Table2[[#This Row],[Housing]:[Household goods and services]],Table2[[#This Row],[Transport and communication]],Table2[[#This Row],[Education]])</f>
        <v>683.6</v>
      </c>
      <c r="AH210">
        <f>SUM(Table2[[#This Row],[Clothing]:[Clothing and footwear]])</f>
        <v>411</v>
      </c>
      <c r="AI210">
        <f>SUM(Table2[[#This Row],[Pan, tobacco and intoxicants]],Table2[[#This Row],[Recreation and amusement]],Table2[[#This Row],[Personal care and effects]])</f>
        <v>425.1</v>
      </c>
    </row>
    <row r="211" spans="1:35" x14ac:dyDescent="0.25">
      <c r="A211" t="s">
        <v>35</v>
      </c>
      <c r="B211">
        <v>2018</v>
      </c>
      <c r="C211" t="s">
        <v>50</v>
      </c>
      <c r="D211" s="2">
        <v>43374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v>162.6</v>
      </c>
      <c r="S211">
        <v>148</v>
      </c>
      <c r="T211">
        <v>139.19999999999999</v>
      </c>
      <c r="U211">
        <v>146.80000000000001</v>
      </c>
      <c r="V211"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  <c r="AF211">
        <f>SUM(Table2[[#This Row],[Cereals and products]:[Food and beverages]])</f>
        <v>1776.2</v>
      </c>
      <c r="AG211">
        <f>SUM(Table2[[#This Row],[Housing]:[Household goods and services]],Table2[[#This Row],[Transport and communication]],Table2[[#This Row],[Education]])</f>
        <v>707.7</v>
      </c>
      <c r="AH211">
        <f>SUM(Table2[[#This Row],[Clothing]:[Clothing and footwear]])</f>
        <v>434</v>
      </c>
      <c r="AI211">
        <f>SUM(Table2[[#This Row],[Pan, tobacco and intoxicants]],Table2[[#This Row],[Recreation and amusement]],Table2[[#This Row],[Personal care and effects]])</f>
        <v>431.1</v>
      </c>
    </row>
    <row r="212" spans="1:35" x14ac:dyDescent="0.25">
      <c r="A212" t="s">
        <v>30</v>
      </c>
      <c r="B212">
        <v>2018</v>
      </c>
      <c r="C212" t="s">
        <v>53</v>
      </c>
      <c r="D212" s="2">
        <v>43405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v>161.9</v>
      </c>
      <c r="S212">
        <v>151.69999999999999</v>
      </c>
      <c r="T212">
        <v>145.5</v>
      </c>
      <c r="U212">
        <v>150.80000000000001</v>
      </c>
      <c r="V212">
        <v>146.9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  <c r="AF212">
        <f>SUM(Table2[[#This Row],[Cereals and products]:[Food and beverages]])</f>
        <v>1787.4999999999995</v>
      </c>
      <c r="AG212">
        <f>SUM(Table2[[#This Row],[Housing]:[Household goods and services]],Table2[[#This Row],[Transport and communication]],Table2[[#This Row],[Education]])</f>
        <v>725.7</v>
      </c>
      <c r="AH212">
        <f>SUM(Table2[[#This Row],[Clothing]:[Clothing and footwear]])</f>
        <v>448</v>
      </c>
      <c r="AI212">
        <f>SUM(Table2[[#This Row],[Pan, tobacco and intoxicants]],Table2[[#This Row],[Recreation and amusement]],Table2[[#This Row],[Personal care and effects]])</f>
        <v>438.1</v>
      </c>
    </row>
    <row r="213" spans="1:35" x14ac:dyDescent="0.25">
      <c r="A213" t="s">
        <v>33</v>
      </c>
      <c r="B213">
        <v>2018</v>
      </c>
      <c r="C213" t="s">
        <v>53</v>
      </c>
      <c r="D213" s="2">
        <v>43405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v>164.4</v>
      </c>
      <c r="S213">
        <v>142.4</v>
      </c>
      <c r="T213">
        <v>130.19999999999999</v>
      </c>
      <c r="U213">
        <v>140.5</v>
      </c>
      <c r="V213"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  <c r="AF213">
        <f>SUM(Table2[[#This Row],[Cereals and products]:[Food and beverages]])</f>
        <v>1757.4999999999998</v>
      </c>
      <c r="AG213">
        <f>SUM(Table2[[#This Row],[Housing]:[Household goods and services]],Table2[[#This Row],[Transport and communication]],Table2[[#This Row],[Education]])</f>
        <v>686.7</v>
      </c>
      <c r="AH213">
        <f>SUM(Table2[[#This Row],[Clothing]:[Clothing and footwear]])</f>
        <v>413.1</v>
      </c>
      <c r="AI213">
        <f>SUM(Table2[[#This Row],[Pan, tobacco and intoxicants]],Table2[[#This Row],[Recreation and amusement]],Table2[[#This Row],[Personal care and effects]])</f>
        <v>426.20000000000005</v>
      </c>
    </row>
    <row r="214" spans="1:35" x14ac:dyDescent="0.25">
      <c r="A214" t="s">
        <v>35</v>
      </c>
      <c r="B214">
        <v>2018</v>
      </c>
      <c r="C214" t="s">
        <v>53</v>
      </c>
      <c r="D214" s="2">
        <v>43405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v>162.6</v>
      </c>
      <c r="S214">
        <v>148</v>
      </c>
      <c r="T214">
        <v>139.1</v>
      </c>
      <c r="U214">
        <v>146.69999999999999</v>
      </c>
      <c r="V214"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  <c r="AF214">
        <f>SUM(Table2[[#This Row],[Cereals and products]:[Food and beverages]])</f>
        <v>1775.7000000000003</v>
      </c>
      <c r="AG214">
        <f>SUM(Table2[[#This Row],[Housing]:[Household goods and services]],Table2[[#This Row],[Transport and communication]],Table2[[#This Row],[Education]])</f>
        <v>707.5</v>
      </c>
      <c r="AH214">
        <f>SUM(Table2[[#This Row],[Clothing]:[Clothing and footwear]])</f>
        <v>433.8</v>
      </c>
      <c r="AI214">
        <f>SUM(Table2[[#This Row],[Pan, tobacco and intoxicants]],Table2[[#This Row],[Recreation and amusement]],Table2[[#This Row],[Personal care and effects]])</f>
        <v>431.1</v>
      </c>
    </row>
    <row r="215" spans="1:35" x14ac:dyDescent="0.25">
      <c r="A215" t="s">
        <v>30</v>
      </c>
      <c r="B215">
        <v>2018</v>
      </c>
      <c r="C215" t="s">
        <v>55</v>
      </c>
      <c r="D215" s="2">
        <v>43435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v>162.4</v>
      </c>
      <c r="S215">
        <v>151.6</v>
      </c>
      <c r="T215">
        <v>145.9</v>
      </c>
      <c r="U215">
        <v>150.80000000000001</v>
      </c>
      <c r="V215">
        <v>146.5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  <c r="AF215">
        <f>SUM(Table2[[#This Row],[Cereals and products]:[Food and beverages]])</f>
        <v>1773.1000000000001</v>
      </c>
      <c r="AG215">
        <f>SUM(Table2[[#This Row],[Housing]:[Household goods and services]],Table2[[#This Row],[Transport and communication]],Table2[[#This Row],[Education]])</f>
        <v>729</v>
      </c>
      <c r="AH215">
        <f>SUM(Table2[[#This Row],[Clothing]:[Clothing and footwear]])</f>
        <v>448.3</v>
      </c>
      <c r="AI215">
        <f>SUM(Table2[[#This Row],[Pan, tobacco and intoxicants]],Table2[[#This Row],[Recreation and amusement]],Table2[[#This Row],[Personal care and effects]])</f>
        <v>438.90000000000003</v>
      </c>
    </row>
    <row r="216" spans="1:35" x14ac:dyDescent="0.25">
      <c r="A216" t="s">
        <v>33</v>
      </c>
      <c r="B216">
        <v>2018</v>
      </c>
      <c r="C216" t="s">
        <v>55</v>
      </c>
      <c r="D216" s="2">
        <v>43435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v>164.6</v>
      </c>
      <c r="S216">
        <v>142.69999999999999</v>
      </c>
      <c r="T216">
        <v>130.30000000000001</v>
      </c>
      <c r="U216">
        <v>140.80000000000001</v>
      </c>
      <c r="V216"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  <c r="AF216">
        <f>SUM(Table2[[#This Row],[Cereals and products]:[Food and beverages]])</f>
        <v>1746.6</v>
      </c>
      <c r="AG216">
        <f>SUM(Table2[[#This Row],[Housing]:[Household goods and services]],Table2[[#This Row],[Transport and communication]],Table2[[#This Row],[Education]])</f>
        <v>680.4</v>
      </c>
      <c r="AH216">
        <f>SUM(Table2[[#This Row],[Clothing]:[Clothing and footwear]])</f>
        <v>413.8</v>
      </c>
      <c r="AI216">
        <f>SUM(Table2[[#This Row],[Pan, tobacco and intoxicants]],Table2[[#This Row],[Recreation and amusement]],Table2[[#This Row],[Personal care and effects]])</f>
        <v>427.09999999999997</v>
      </c>
    </row>
    <row r="217" spans="1:35" x14ac:dyDescent="0.25">
      <c r="A217" t="s">
        <v>35</v>
      </c>
      <c r="B217">
        <v>2018</v>
      </c>
      <c r="C217" t="s">
        <v>55</v>
      </c>
      <c r="D217" s="2">
        <v>43435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v>163</v>
      </c>
      <c r="S217">
        <v>148.1</v>
      </c>
      <c r="T217">
        <v>139.4</v>
      </c>
      <c r="U217">
        <v>146.80000000000001</v>
      </c>
      <c r="V217"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  <c r="AF217">
        <f>SUM(Table2[[#This Row],[Cereals and products]:[Food and beverages]])</f>
        <v>1762.7999999999997</v>
      </c>
      <c r="AG217">
        <f>SUM(Table2[[#This Row],[Housing]:[Household goods and services]],Table2[[#This Row],[Transport and communication]],Table2[[#This Row],[Education]])</f>
        <v>706.1</v>
      </c>
      <c r="AH217">
        <f>SUM(Table2[[#This Row],[Clothing]:[Clothing and footwear]])</f>
        <v>434.3</v>
      </c>
      <c r="AI217">
        <f>SUM(Table2[[#This Row],[Pan, tobacco and intoxicants]],Table2[[#This Row],[Recreation and amusement]],Table2[[#This Row],[Personal care and effects]])</f>
        <v>432</v>
      </c>
    </row>
    <row r="218" spans="1:35" x14ac:dyDescent="0.25">
      <c r="A218" t="s">
        <v>30</v>
      </c>
      <c r="B218">
        <v>2019</v>
      </c>
      <c r="C218" t="s">
        <v>31</v>
      </c>
      <c r="D218" s="2">
        <v>43466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v>162.69999999999999</v>
      </c>
      <c r="S218">
        <v>150.6</v>
      </c>
      <c r="T218">
        <v>145.1</v>
      </c>
      <c r="U218">
        <v>149.9</v>
      </c>
      <c r="V218">
        <v>147.69999999999999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  <c r="AF218">
        <f>SUM(Table2[[#This Row],[Cereals and products]:[Food and beverages]])</f>
        <v>1759.6000000000001</v>
      </c>
      <c r="AG218">
        <f>SUM(Table2[[#This Row],[Housing]:[Household goods and services]],Table2[[#This Row],[Transport and communication]],Table2[[#This Row],[Education]])</f>
        <v>727.8</v>
      </c>
      <c r="AH218">
        <f>SUM(Table2[[#This Row],[Clothing]:[Clothing and footwear]])</f>
        <v>445.6</v>
      </c>
      <c r="AI218">
        <f>SUM(Table2[[#This Row],[Pan, tobacco and intoxicants]],Table2[[#This Row],[Recreation and amusement]],Table2[[#This Row],[Personal care and effects]])</f>
        <v>439.1</v>
      </c>
    </row>
    <row r="219" spans="1:35" x14ac:dyDescent="0.25">
      <c r="A219" t="s">
        <v>33</v>
      </c>
      <c r="B219">
        <v>2019</v>
      </c>
      <c r="C219" t="s">
        <v>31</v>
      </c>
      <c r="D219" s="2">
        <v>43466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v>164.7</v>
      </c>
      <c r="S219">
        <v>143</v>
      </c>
      <c r="T219">
        <v>130.4</v>
      </c>
      <c r="U219">
        <v>141.1</v>
      </c>
      <c r="V219"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  <c r="AF219">
        <f>SUM(Table2[[#This Row],[Cereals and products]:[Food and beverages]])</f>
        <v>1744.3000000000002</v>
      </c>
      <c r="AG219">
        <f>SUM(Table2[[#This Row],[Housing]:[Household goods and services]],Table2[[#This Row],[Transport and communication]],Table2[[#This Row],[Education]])</f>
        <v>677.8</v>
      </c>
      <c r="AH219">
        <f>SUM(Table2[[#This Row],[Clothing]:[Clothing and footwear]])</f>
        <v>414.5</v>
      </c>
      <c r="AI219">
        <f>SUM(Table2[[#This Row],[Pan, tobacco and intoxicants]],Table2[[#This Row],[Recreation and amusement]],Table2[[#This Row],[Personal care and effects]])</f>
        <v>428.3</v>
      </c>
    </row>
    <row r="220" spans="1:35" x14ac:dyDescent="0.25">
      <c r="A220" t="s">
        <v>35</v>
      </c>
      <c r="B220">
        <v>2019</v>
      </c>
      <c r="C220" t="s">
        <v>31</v>
      </c>
      <c r="D220" s="2">
        <v>43466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v>163.19999999999999</v>
      </c>
      <c r="S220">
        <v>147.6</v>
      </c>
      <c r="T220">
        <v>139</v>
      </c>
      <c r="U220">
        <v>146.4</v>
      </c>
      <c r="V220"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  <c r="AF220">
        <f>SUM(Table2[[#This Row],[Cereals and products]:[Food and beverages]])</f>
        <v>1753.3999999999999</v>
      </c>
      <c r="AG220">
        <f>SUM(Table2[[#This Row],[Housing]:[Household goods and services]],Table2[[#This Row],[Transport and communication]],Table2[[#This Row],[Education]])</f>
        <v>704.3</v>
      </c>
      <c r="AH220">
        <f>SUM(Table2[[#This Row],[Clothing]:[Clothing and footwear]])</f>
        <v>433</v>
      </c>
      <c r="AI220">
        <f>SUM(Table2[[#This Row],[Pan, tobacco and intoxicants]],Table2[[#This Row],[Recreation and amusement]],Table2[[#This Row],[Personal care and effects]])</f>
        <v>432.7</v>
      </c>
    </row>
    <row r="221" spans="1:35" x14ac:dyDescent="0.25">
      <c r="A221" t="s">
        <v>30</v>
      </c>
      <c r="B221">
        <v>2019</v>
      </c>
      <c r="C221" t="s">
        <v>36</v>
      </c>
      <c r="D221" s="2">
        <v>43497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v>162.80000000000001</v>
      </c>
      <c r="S221">
        <v>150.5</v>
      </c>
      <c r="T221">
        <v>146.1</v>
      </c>
      <c r="U221">
        <v>149.9</v>
      </c>
      <c r="V221">
        <v>148.5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  <c r="AF221">
        <f>SUM(Table2[[#This Row],[Cereals and products]:[Food and beverages]])</f>
        <v>1759.8000000000002</v>
      </c>
      <c r="AG221">
        <f>SUM(Table2[[#This Row],[Housing]:[Household goods and services]],Table2[[#This Row],[Transport and communication]],Table2[[#This Row],[Education]])</f>
        <v>728.59999999999991</v>
      </c>
      <c r="AH221">
        <f>SUM(Table2[[#This Row],[Clothing]:[Clothing and footwear]])</f>
        <v>446.5</v>
      </c>
      <c r="AI221">
        <f>SUM(Table2[[#This Row],[Pan, tobacco and intoxicants]],Table2[[#This Row],[Recreation and amusement]],Table2[[#This Row],[Personal care and effects]])</f>
        <v>441.1</v>
      </c>
    </row>
    <row r="222" spans="1:35" x14ac:dyDescent="0.25">
      <c r="A222" t="s">
        <v>33</v>
      </c>
      <c r="B222">
        <v>2019</v>
      </c>
      <c r="C222" t="s">
        <v>36</v>
      </c>
      <c r="D222" s="2">
        <v>43497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v>164.9</v>
      </c>
      <c r="S222">
        <v>143.30000000000001</v>
      </c>
      <c r="T222">
        <v>130.80000000000001</v>
      </c>
      <c r="U222">
        <v>141.4</v>
      </c>
      <c r="V222"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  <c r="AF222">
        <f>SUM(Table2[[#This Row],[Cereals and products]:[Food and beverages]])</f>
        <v>1754.4</v>
      </c>
      <c r="AG222">
        <f>SUM(Table2[[#This Row],[Housing]:[Household goods and services]],Table2[[#This Row],[Transport and communication]],Table2[[#This Row],[Education]])</f>
        <v>678.00000000000011</v>
      </c>
      <c r="AH222">
        <f>SUM(Table2[[#This Row],[Clothing]:[Clothing and footwear]])</f>
        <v>415.5</v>
      </c>
      <c r="AI222">
        <f>SUM(Table2[[#This Row],[Pan, tobacco and intoxicants]],Table2[[#This Row],[Recreation and amusement]],Table2[[#This Row],[Personal care and effects]])</f>
        <v>430.1</v>
      </c>
    </row>
    <row r="223" spans="1:35" x14ac:dyDescent="0.25">
      <c r="A223" t="s">
        <v>35</v>
      </c>
      <c r="B223">
        <v>2019</v>
      </c>
      <c r="C223" t="s">
        <v>36</v>
      </c>
      <c r="D223" s="2">
        <v>43497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v>163.4</v>
      </c>
      <c r="S223">
        <v>147.69999999999999</v>
      </c>
      <c r="T223">
        <v>139.69999999999999</v>
      </c>
      <c r="U223">
        <v>146.5</v>
      </c>
      <c r="V223"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  <c r="AF223">
        <f>SUM(Table2[[#This Row],[Cereals and products]:[Food and beverages]])</f>
        <v>1757.1</v>
      </c>
      <c r="AG223">
        <f>SUM(Table2[[#This Row],[Housing]:[Household goods and services]],Table2[[#This Row],[Transport and communication]],Table2[[#This Row],[Education]])</f>
        <v>704.8</v>
      </c>
      <c r="AH223">
        <f>SUM(Table2[[#This Row],[Clothing]:[Clothing and footwear]])</f>
        <v>433.9</v>
      </c>
      <c r="AI223">
        <f>SUM(Table2[[#This Row],[Pan, tobacco and intoxicants]],Table2[[#This Row],[Recreation and amusement]],Table2[[#This Row],[Personal care and effects]])</f>
        <v>434.6</v>
      </c>
    </row>
    <row r="224" spans="1:35" x14ac:dyDescent="0.25">
      <c r="A224" t="s">
        <v>30</v>
      </c>
      <c r="B224">
        <v>2019</v>
      </c>
      <c r="C224" t="s">
        <v>38</v>
      </c>
      <c r="D224" s="2">
        <v>43525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v>162.9</v>
      </c>
      <c r="S224">
        <v>150.80000000000001</v>
      </c>
      <c r="T224">
        <v>146.1</v>
      </c>
      <c r="U224">
        <v>150.1</v>
      </c>
      <c r="V224">
        <v>149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  <c r="AF224">
        <f>SUM(Table2[[#This Row],[Cereals and products]:[Food and beverages]])</f>
        <v>1761.2000000000003</v>
      </c>
      <c r="AG224">
        <f>SUM(Table2[[#This Row],[Housing]:[Household goods and services]],Table2[[#This Row],[Transport and communication]],Table2[[#This Row],[Education]])</f>
        <v>730.8</v>
      </c>
      <c r="AH224">
        <f>SUM(Table2[[#This Row],[Clothing]:[Clothing and footwear]])</f>
        <v>447</v>
      </c>
      <c r="AI224">
        <f>SUM(Table2[[#This Row],[Pan, tobacco and intoxicants]],Table2[[#This Row],[Recreation and amusement]],Table2[[#This Row],[Personal care and effects]])</f>
        <v>440.70000000000005</v>
      </c>
    </row>
    <row r="225" spans="1:35" x14ac:dyDescent="0.25">
      <c r="A225" t="s">
        <v>33</v>
      </c>
      <c r="B225">
        <v>2019</v>
      </c>
      <c r="C225" t="s">
        <v>38</v>
      </c>
      <c r="D225" s="2">
        <v>43525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v>165.3</v>
      </c>
      <c r="S225">
        <v>143.5</v>
      </c>
      <c r="T225">
        <v>131.19999999999999</v>
      </c>
      <c r="U225">
        <v>141.6</v>
      </c>
      <c r="V225"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  <c r="AF225">
        <f>SUM(Table2[[#This Row],[Cereals and products]:[Food and beverages]])</f>
        <v>1768.4</v>
      </c>
      <c r="AG225">
        <f>SUM(Table2[[#This Row],[Housing]:[Household goods and services]],Table2[[#This Row],[Transport and communication]],Table2[[#This Row],[Education]])</f>
        <v>681.2</v>
      </c>
      <c r="AH225">
        <f>SUM(Table2[[#This Row],[Clothing]:[Clothing and footwear]])</f>
        <v>416.29999999999995</v>
      </c>
      <c r="AI225">
        <f>SUM(Table2[[#This Row],[Pan, tobacco and intoxicants]],Table2[[#This Row],[Recreation and amusement]],Table2[[#This Row],[Personal care and effects]])</f>
        <v>430.8</v>
      </c>
    </row>
    <row r="226" spans="1:35" x14ac:dyDescent="0.25">
      <c r="A226" t="s">
        <v>35</v>
      </c>
      <c r="B226">
        <v>2019</v>
      </c>
      <c r="C226" t="s">
        <v>38</v>
      </c>
      <c r="D226" s="2">
        <v>43525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v>163.5</v>
      </c>
      <c r="S226">
        <v>147.9</v>
      </c>
      <c r="T226">
        <v>139.9</v>
      </c>
      <c r="U226">
        <v>146.69999999999999</v>
      </c>
      <c r="V226"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  <c r="AF226">
        <f>SUM(Table2[[#This Row],[Cereals and products]:[Food and beverages]])</f>
        <v>1762.9</v>
      </c>
      <c r="AG226">
        <f>SUM(Table2[[#This Row],[Housing]:[Household goods and services]],Table2[[#This Row],[Transport and communication]],Table2[[#This Row],[Education]])</f>
        <v>707.40000000000009</v>
      </c>
      <c r="AH226">
        <f>SUM(Table2[[#This Row],[Clothing]:[Clothing and footwear]])</f>
        <v>434.5</v>
      </c>
      <c r="AI226">
        <f>SUM(Table2[[#This Row],[Pan, tobacco and intoxicants]],Table2[[#This Row],[Recreation and amusement]],Table2[[#This Row],[Personal care and effects]])</f>
        <v>434.6</v>
      </c>
    </row>
    <row r="227" spans="1:35" x14ac:dyDescent="0.25">
      <c r="A227" t="s">
        <v>30</v>
      </c>
      <c r="B227">
        <v>2019</v>
      </c>
      <c r="C227" t="s">
        <v>41</v>
      </c>
      <c r="D227" s="2">
        <v>43586</v>
      </c>
      <c r="E227">
        <v>137.4</v>
      </c>
      <c r="F227">
        <v>159.5</v>
      </c>
      <c r="G227">
        <v>134.5</v>
      </c>
      <c r="H227">
        <v>142.6</v>
      </c>
      <c r="I227">
        <v>124</v>
      </c>
      <c r="J227">
        <v>143.69999999999999</v>
      </c>
      <c r="K227">
        <v>133.4</v>
      </c>
      <c r="L227">
        <v>125.1</v>
      </c>
      <c r="M227">
        <v>109.3</v>
      </c>
      <c r="N227">
        <v>139.30000000000001</v>
      </c>
      <c r="O227">
        <v>137.69999999999999</v>
      </c>
      <c r="P227">
        <v>156.4</v>
      </c>
      <c r="Q227">
        <v>139.19999999999999</v>
      </c>
      <c r="R227">
        <v>163.30000000000001</v>
      </c>
      <c r="S227">
        <v>151.30000000000001</v>
      </c>
      <c r="T227">
        <v>146.6</v>
      </c>
      <c r="U227">
        <v>150.69999999999999</v>
      </c>
      <c r="V227">
        <v>150.1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  <c r="AF227">
        <f>SUM(Table2[[#This Row],[Cereals and products]:[Food and beverages]])</f>
        <v>1782.1000000000001</v>
      </c>
      <c r="AG227">
        <f>SUM(Table2[[#This Row],[Housing]:[Household goods and services]],Table2[[#This Row],[Transport and communication]],Table2[[#This Row],[Education]])</f>
        <v>733.40000000000009</v>
      </c>
      <c r="AH227">
        <f>SUM(Table2[[#This Row],[Clothing]:[Clothing and footwear]])</f>
        <v>448.59999999999997</v>
      </c>
      <c r="AI227">
        <f>SUM(Table2[[#This Row],[Pan, tobacco and intoxicants]],Table2[[#This Row],[Recreation and amusement]],Table2[[#This Row],[Personal care and effects]])</f>
        <v>443.1</v>
      </c>
    </row>
    <row r="228" spans="1:35" x14ac:dyDescent="0.25">
      <c r="A228" t="s">
        <v>33</v>
      </c>
      <c r="B228">
        <v>2019</v>
      </c>
      <c r="C228" t="s">
        <v>41</v>
      </c>
      <c r="D228" s="2">
        <v>43586</v>
      </c>
      <c r="E228">
        <v>140.4</v>
      </c>
      <c r="F228">
        <v>156.69999999999999</v>
      </c>
      <c r="G228">
        <v>138.30000000000001</v>
      </c>
      <c r="H228">
        <v>142.4</v>
      </c>
      <c r="I228">
        <v>118.6</v>
      </c>
      <c r="J228">
        <v>149.69999999999999</v>
      </c>
      <c r="K228">
        <v>161.6</v>
      </c>
      <c r="L228">
        <v>124.4</v>
      </c>
      <c r="M228">
        <v>111.2</v>
      </c>
      <c r="N228">
        <v>141</v>
      </c>
      <c r="O228">
        <v>128.9</v>
      </c>
      <c r="P228">
        <v>154.5</v>
      </c>
      <c r="Q228">
        <v>143.80000000000001</v>
      </c>
      <c r="R228">
        <v>166.2</v>
      </c>
      <c r="S228">
        <v>144</v>
      </c>
      <c r="T228">
        <v>131.69999999999999</v>
      </c>
      <c r="U228">
        <v>142.19999999999999</v>
      </c>
      <c r="V228">
        <v>150.1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  <c r="AF228">
        <f>SUM(Table2[[#This Row],[Cereals and products]:[Food and beverages]])</f>
        <v>1811.5000000000002</v>
      </c>
      <c r="AG228">
        <f>SUM(Table2[[#This Row],[Housing]:[Household goods and services]],Table2[[#This Row],[Transport and communication]],Table2[[#This Row],[Education]])</f>
        <v>684.8</v>
      </c>
      <c r="AH228">
        <f>SUM(Table2[[#This Row],[Clothing]:[Clothing and footwear]])</f>
        <v>417.9</v>
      </c>
      <c r="AI228">
        <f>SUM(Table2[[#This Row],[Pan, tobacco and intoxicants]],Table2[[#This Row],[Recreation and amusement]],Table2[[#This Row],[Personal care and effects]])</f>
        <v>432.79999999999995</v>
      </c>
    </row>
    <row r="229" spans="1:35" x14ac:dyDescent="0.25">
      <c r="A229" t="s">
        <v>35</v>
      </c>
      <c r="B229">
        <v>2019</v>
      </c>
      <c r="C229" t="s">
        <v>41</v>
      </c>
      <c r="D229" s="2">
        <v>43586</v>
      </c>
      <c r="E229">
        <v>138.30000000000001</v>
      </c>
      <c r="F229">
        <v>158.5</v>
      </c>
      <c r="G229">
        <v>136</v>
      </c>
      <c r="H229">
        <v>142.5</v>
      </c>
      <c r="I229">
        <v>122</v>
      </c>
      <c r="J229">
        <v>146.5</v>
      </c>
      <c r="K229">
        <v>143</v>
      </c>
      <c r="L229">
        <v>124.9</v>
      </c>
      <c r="M229">
        <v>109.9</v>
      </c>
      <c r="N229">
        <v>139.9</v>
      </c>
      <c r="O229">
        <v>134</v>
      </c>
      <c r="P229">
        <v>155.5</v>
      </c>
      <c r="Q229">
        <v>140.9</v>
      </c>
      <c r="R229">
        <v>164.1</v>
      </c>
      <c r="S229">
        <v>148.4</v>
      </c>
      <c r="T229">
        <v>140.4</v>
      </c>
      <c r="U229">
        <v>147.30000000000001</v>
      </c>
      <c r="V229">
        <v>150.1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  <c r="AF229">
        <f>SUM(Table2[[#This Row],[Cereals and products]:[Food and beverages]])</f>
        <v>1791.9000000000003</v>
      </c>
      <c r="AG229">
        <f>SUM(Table2[[#This Row],[Housing]:[Household goods and services]],Table2[[#This Row],[Transport and communication]],Table2[[#This Row],[Education]])</f>
        <v>710.6</v>
      </c>
      <c r="AH229">
        <f>SUM(Table2[[#This Row],[Clothing]:[Clothing and footwear]])</f>
        <v>436.1</v>
      </c>
      <c r="AI229">
        <f>SUM(Table2[[#This Row],[Pan, tobacco and intoxicants]],Table2[[#This Row],[Recreation and amusement]],Table2[[#This Row],[Personal care and effects]])</f>
        <v>436.69999999999993</v>
      </c>
    </row>
    <row r="230" spans="1:35" x14ac:dyDescent="0.25">
      <c r="A230" t="s">
        <v>30</v>
      </c>
      <c r="B230">
        <v>2019</v>
      </c>
      <c r="C230" t="s">
        <v>42</v>
      </c>
      <c r="D230" s="2">
        <v>43617</v>
      </c>
      <c r="E230">
        <v>137.80000000000001</v>
      </c>
      <c r="F230">
        <v>163.5</v>
      </c>
      <c r="G230">
        <v>136.19999999999999</v>
      </c>
      <c r="H230">
        <v>143.19999999999999</v>
      </c>
      <c r="I230">
        <v>124.3</v>
      </c>
      <c r="J230">
        <v>143.30000000000001</v>
      </c>
      <c r="K230">
        <v>140.6</v>
      </c>
      <c r="L230">
        <v>128.69999999999999</v>
      </c>
      <c r="M230">
        <v>110.6</v>
      </c>
      <c r="N230">
        <v>140.4</v>
      </c>
      <c r="O230">
        <v>138</v>
      </c>
      <c r="P230">
        <v>156.6</v>
      </c>
      <c r="Q230">
        <v>141</v>
      </c>
      <c r="R230">
        <v>164.2</v>
      </c>
      <c r="S230">
        <v>151.4</v>
      </c>
      <c r="T230">
        <v>146.5</v>
      </c>
      <c r="U230">
        <v>150.69999999999999</v>
      </c>
      <c r="V230">
        <v>149.4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  <c r="AF230">
        <f>SUM(Table2[[#This Row],[Cereals and products]:[Food and beverages]])</f>
        <v>1804.1999999999998</v>
      </c>
      <c r="AG230">
        <f>SUM(Table2[[#This Row],[Housing]:[Household goods and services]],Table2[[#This Row],[Transport and communication]],Table2[[#This Row],[Education]])</f>
        <v>734.7</v>
      </c>
      <c r="AH230">
        <f>SUM(Table2[[#This Row],[Clothing]:[Clothing and footwear]])</f>
        <v>448.59999999999997</v>
      </c>
      <c r="AI230">
        <f>SUM(Table2[[#This Row],[Pan, tobacco and intoxicants]],Table2[[#This Row],[Recreation and amusement]],Table2[[#This Row],[Personal care and effects]])</f>
        <v>445.40000000000003</v>
      </c>
    </row>
    <row r="231" spans="1:35" x14ac:dyDescent="0.25">
      <c r="A231" t="s">
        <v>33</v>
      </c>
      <c r="B231">
        <v>2019</v>
      </c>
      <c r="C231" t="s">
        <v>42</v>
      </c>
      <c r="D231" s="2">
        <v>43617</v>
      </c>
      <c r="E231">
        <v>140.69999999999999</v>
      </c>
      <c r="F231">
        <v>159.6</v>
      </c>
      <c r="G231">
        <v>140.4</v>
      </c>
      <c r="H231">
        <v>143.4</v>
      </c>
      <c r="I231">
        <v>118.6</v>
      </c>
      <c r="J231">
        <v>150.9</v>
      </c>
      <c r="K231">
        <v>169.8</v>
      </c>
      <c r="L231">
        <v>127.4</v>
      </c>
      <c r="M231">
        <v>111.8</v>
      </c>
      <c r="N231">
        <v>141</v>
      </c>
      <c r="O231">
        <v>129</v>
      </c>
      <c r="P231">
        <v>155.1</v>
      </c>
      <c r="Q231">
        <v>145.6</v>
      </c>
      <c r="R231">
        <v>166.7</v>
      </c>
      <c r="S231">
        <v>144.30000000000001</v>
      </c>
      <c r="T231">
        <v>131.69999999999999</v>
      </c>
      <c r="U231">
        <v>142.4</v>
      </c>
      <c r="V231">
        <v>149.4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  <c r="AF231">
        <f>SUM(Table2[[#This Row],[Cereals and products]:[Food and beverages]])</f>
        <v>1833.2999999999997</v>
      </c>
      <c r="AG231">
        <f>SUM(Table2[[#This Row],[Housing]:[Household goods and services]],Table2[[#This Row],[Transport and communication]],Table2[[#This Row],[Education]])</f>
        <v>685.8</v>
      </c>
      <c r="AH231">
        <f>SUM(Table2[[#This Row],[Clothing]:[Clothing and footwear]])</f>
        <v>418.4</v>
      </c>
      <c r="AI231">
        <f>SUM(Table2[[#This Row],[Pan, tobacco and intoxicants]],Table2[[#This Row],[Recreation and amusement]],Table2[[#This Row],[Personal care and effects]])</f>
        <v>434.7</v>
      </c>
    </row>
    <row r="232" spans="1:35" x14ac:dyDescent="0.25">
      <c r="A232" t="s">
        <v>35</v>
      </c>
      <c r="B232">
        <v>2019</v>
      </c>
      <c r="C232" t="s">
        <v>42</v>
      </c>
      <c r="D232" s="2">
        <v>43617</v>
      </c>
      <c r="E232">
        <v>138.69999999999999</v>
      </c>
      <c r="F232">
        <v>162.1</v>
      </c>
      <c r="G232">
        <v>137.80000000000001</v>
      </c>
      <c r="H232">
        <v>143.30000000000001</v>
      </c>
      <c r="I232">
        <v>122.2</v>
      </c>
      <c r="J232">
        <v>146.80000000000001</v>
      </c>
      <c r="K232">
        <v>150.5</v>
      </c>
      <c r="L232">
        <v>128.30000000000001</v>
      </c>
      <c r="M232">
        <v>111</v>
      </c>
      <c r="N232">
        <v>140.6</v>
      </c>
      <c r="O232">
        <v>134.19999999999999</v>
      </c>
      <c r="P232">
        <v>155.9</v>
      </c>
      <c r="Q232">
        <v>142.69999999999999</v>
      </c>
      <c r="R232">
        <v>164.9</v>
      </c>
      <c r="S232">
        <v>148.6</v>
      </c>
      <c r="T232">
        <v>140.4</v>
      </c>
      <c r="U232">
        <v>147.4</v>
      </c>
      <c r="V232">
        <v>149.4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  <c r="AF232">
        <f>SUM(Table2[[#This Row],[Cereals and products]:[Food and beverages]])</f>
        <v>1814.1000000000001</v>
      </c>
      <c r="AG232">
        <f>SUM(Table2[[#This Row],[Housing]:[Household goods and services]],Table2[[#This Row],[Transport and communication]],Table2[[#This Row],[Education]])</f>
        <v>711.5</v>
      </c>
      <c r="AH232">
        <f>SUM(Table2[[#This Row],[Clothing]:[Clothing and footwear]])</f>
        <v>436.4</v>
      </c>
      <c r="AI232">
        <f>SUM(Table2[[#This Row],[Pan, tobacco and intoxicants]],Table2[[#This Row],[Recreation and amusement]],Table2[[#This Row],[Personal care and effects]])</f>
        <v>438.8</v>
      </c>
    </row>
    <row r="233" spans="1:35" x14ac:dyDescent="0.25">
      <c r="A233" t="s">
        <v>30</v>
      </c>
      <c r="B233">
        <v>2019</v>
      </c>
      <c r="C233" t="s">
        <v>44</v>
      </c>
      <c r="D233" s="2">
        <v>43647</v>
      </c>
      <c r="E233">
        <v>138.4</v>
      </c>
      <c r="F233">
        <v>164</v>
      </c>
      <c r="G233">
        <v>138.4</v>
      </c>
      <c r="H233">
        <v>143.9</v>
      </c>
      <c r="I233">
        <v>124.4</v>
      </c>
      <c r="J233">
        <v>146.4</v>
      </c>
      <c r="K233">
        <v>150.1</v>
      </c>
      <c r="L233">
        <v>130.6</v>
      </c>
      <c r="M233">
        <v>110.8</v>
      </c>
      <c r="N233">
        <v>141.69999999999999</v>
      </c>
      <c r="O233">
        <v>138.5</v>
      </c>
      <c r="P233">
        <v>156.69999999999999</v>
      </c>
      <c r="Q233">
        <v>143</v>
      </c>
      <c r="R233">
        <v>164.5</v>
      </c>
      <c r="S233">
        <v>151.6</v>
      </c>
      <c r="T233">
        <v>146.6</v>
      </c>
      <c r="U233">
        <v>150.9</v>
      </c>
      <c r="V233">
        <v>150.6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  <c r="AF233">
        <f>SUM(Table2[[#This Row],[Cereals and products]:[Food and beverages]])</f>
        <v>1826.8999999999999</v>
      </c>
      <c r="AG233">
        <f>SUM(Table2[[#This Row],[Housing]:[Household goods and services]],Table2[[#This Row],[Transport and communication]],Table2[[#This Row],[Education]])</f>
        <v>737.69999999999993</v>
      </c>
      <c r="AH233">
        <f>SUM(Table2[[#This Row],[Clothing]:[Clothing and footwear]])</f>
        <v>449.1</v>
      </c>
      <c r="AI233">
        <f>SUM(Table2[[#This Row],[Pan, tobacco and intoxicants]],Table2[[#This Row],[Recreation and amusement]],Table2[[#This Row],[Personal care and effects]])</f>
        <v>448.1</v>
      </c>
    </row>
    <row r="234" spans="1:35" x14ac:dyDescent="0.25">
      <c r="A234" t="s">
        <v>33</v>
      </c>
      <c r="B234">
        <v>2019</v>
      </c>
      <c r="C234" t="s">
        <v>44</v>
      </c>
      <c r="D234" s="2">
        <v>43647</v>
      </c>
      <c r="E234">
        <v>141.4</v>
      </c>
      <c r="F234">
        <v>160.19999999999999</v>
      </c>
      <c r="G234">
        <v>142.5</v>
      </c>
      <c r="H234">
        <v>144.1</v>
      </c>
      <c r="I234">
        <v>119.3</v>
      </c>
      <c r="J234">
        <v>154.69999999999999</v>
      </c>
      <c r="K234">
        <v>180.1</v>
      </c>
      <c r="L234">
        <v>128.9</v>
      </c>
      <c r="M234">
        <v>111.8</v>
      </c>
      <c r="N234">
        <v>141.6</v>
      </c>
      <c r="O234">
        <v>129.5</v>
      </c>
      <c r="P234">
        <v>155.6</v>
      </c>
      <c r="Q234">
        <v>147.69999999999999</v>
      </c>
      <c r="R234">
        <v>167.2</v>
      </c>
      <c r="S234">
        <v>144.69999999999999</v>
      </c>
      <c r="T234">
        <v>131.9</v>
      </c>
      <c r="U234">
        <v>142.69999999999999</v>
      </c>
      <c r="V234">
        <v>150.6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  <c r="AF234">
        <f>SUM(Table2[[#This Row],[Cereals and products]:[Food and beverages]])</f>
        <v>1857.3999999999999</v>
      </c>
      <c r="AG234">
        <f>SUM(Table2[[#This Row],[Housing]:[Household goods and services]],Table2[[#This Row],[Transport and communication]],Table2[[#This Row],[Education]])</f>
        <v>686.3</v>
      </c>
      <c r="AH234">
        <f>SUM(Table2[[#This Row],[Clothing]:[Clothing and footwear]])</f>
        <v>419.3</v>
      </c>
      <c r="AI234">
        <f>SUM(Table2[[#This Row],[Pan, tobacco and intoxicants]],Table2[[#This Row],[Recreation and amusement]],Table2[[#This Row],[Personal care and effects]])</f>
        <v>437.29999999999995</v>
      </c>
    </row>
    <row r="235" spans="1:35" x14ac:dyDescent="0.25">
      <c r="A235" t="s">
        <v>35</v>
      </c>
      <c r="B235">
        <v>2019</v>
      </c>
      <c r="C235" t="s">
        <v>44</v>
      </c>
      <c r="D235" s="2">
        <v>43647</v>
      </c>
      <c r="E235">
        <v>139.30000000000001</v>
      </c>
      <c r="F235">
        <v>162.69999999999999</v>
      </c>
      <c r="G235">
        <v>140</v>
      </c>
      <c r="H235">
        <v>144</v>
      </c>
      <c r="I235">
        <v>122.5</v>
      </c>
      <c r="J235">
        <v>150.30000000000001</v>
      </c>
      <c r="K235">
        <v>160.30000000000001</v>
      </c>
      <c r="L235">
        <v>130</v>
      </c>
      <c r="M235">
        <v>111.1</v>
      </c>
      <c r="N235">
        <v>141.69999999999999</v>
      </c>
      <c r="O235">
        <v>134.69999999999999</v>
      </c>
      <c r="P235">
        <v>156.19999999999999</v>
      </c>
      <c r="Q235">
        <v>144.69999999999999</v>
      </c>
      <c r="R235">
        <v>165.2</v>
      </c>
      <c r="S235">
        <v>148.9</v>
      </c>
      <c r="T235">
        <v>140.5</v>
      </c>
      <c r="U235">
        <v>147.6</v>
      </c>
      <c r="V235">
        <v>150.6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  <c r="AF235">
        <f>SUM(Table2[[#This Row],[Cereals and products]:[Food and beverages]])</f>
        <v>1837.5</v>
      </c>
      <c r="AG235">
        <f>SUM(Table2[[#This Row],[Housing]:[Household goods and services]],Table2[[#This Row],[Transport and communication]],Table2[[#This Row],[Education]])</f>
        <v>713.69999999999993</v>
      </c>
      <c r="AH235">
        <f>SUM(Table2[[#This Row],[Clothing]:[Clothing and footwear]])</f>
        <v>437</v>
      </c>
      <c r="AI235">
        <f>SUM(Table2[[#This Row],[Pan, tobacco and intoxicants]],Table2[[#This Row],[Recreation and amusement]],Table2[[#This Row],[Personal care and effects]])</f>
        <v>441.4</v>
      </c>
    </row>
    <row r="236" spans="1:35" x14ac:dyDescent="0.25">
      <c r="A236" t="s">
        <v>30</v>
      </c>
      <c r="B236">
        <v>2019</v>
      </c>
      <c r="C236" t="s">
        <v>46</v>
      </c>
      <c r="D236" s="2">
        <v>43678</v>
      </c>
      <c r="E236">
        <v>139.19999999999999</v>
      </c>
      <c r="F236">
        <v>161.9</v>
      </c>
      <c r="G236">
        <v>137.1</v>
      </c>
      <c r="H236">
        <v>144.6</v>
      </c>
      <c r="I236">
        <v>124.7</v>
      </c>
      <c r="J236">
        <v>145.5</v>
      </c>
      <c r="K236">
        <v>156.19999999999999</v>
      </c>
      <c r="L236">
        <v>131.5</v>
      </c>
      <c r="M236">
        <v>111.7</v>
      </c>
      <c r="N236">
        <v>142.69999999999999</v>
      </c>
      <c r="O236">
        <v>138.5</v>
      </c>
      <c r="P236">
        <v>156.9</v>
      </c>
      <c r="Q236">
        <v>144</v>
      </c>
      <c r="R236">
        <v>165.1</v>
      </c>
      <c r="S236">
        <v>151.80000000000001</v>
      </c>
      <c r="T236">
        <v>146.6</v>
      </c>
      <c r="U236">
        <v>151.1</v>
      </c>
      <c r="V236">
        <v>151.6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  <c r="AF236">
        <f>SUM(Table2[[#This Row],[Cereals and products]:[Food and beverages]])</f>
        <v>1834.5000000000002</v>
      </c>
      <c r="AG236">
        <f>SUM(Table2[[#This Row],[Housing]:[Household goods and services]],Table2[[#This Row],[Transport and communication]],Table2[[#This Row],[Education]])</f>
        <v>739.3</v>
      </c>
      <c r="AH236">
        <f>SUM(Table2[[#This Row],[Clothing]:[Clothing and footwear]])</f>
        <v>449.5</v>
      </c>
      <c r="AI236">
        <f>SUM(Table2[[#This Row],[Pan, tobacco and intoxicants]],Table2[[#This Row],[Recreation and amusement]],Table2[[#This Row],[Personal care and effects]])</f>
        <v>451.90000000000003</v>
      </c>
    </row>
    <row r="237" spans="1:35" x14ac:dyDescent="0.25">
      <c r="A237" t="s">
        <v>33</v>
      </c>
      <c r="B237">
        <v>2019</v>
      </c>
      <c r="C237" t="s">
        <v>46</v>
      </c>
      <c r="D237" s="2">
        <v>43678</v>
      </c>
      <c r="E237">
        <v>142.1</v>
      </c>
      <c r="F237">
        <v>158.30000000000001</v>
      </c>
      <c r="G237">
        <v>140.80000000000001</v>
      </c>
      <c r="H237">
        <v>144.9</v>
      </c>
      <c r="I237">
        <v>119.9</v>
      </c>
      <c r="J237">
        <v>153.9</v>
      </c>
      <c r="K237">
        <v>189.1</v>
      </c>
      <c r="L237">
        <v>129.80000000000001</v>
      </c>
      <c r="M237">
        <v>112.7</v>
      </c>
      <c r="N237">
        <v>142.5</v>
      </c>
      <c r="O237">
        <v>129.80000000000001</v>
      </c>
      <c r="P237">
        <v>156.19999999999999</v>
      </c>
      <c r="Q237">
        <v>149.1</v>
      </c>
      <c r="R237">
        <v>167.9</v>
      </c>
      <c r="S237">
        <v>145</v>
      </c>
      <c r="T237">
        <v>132.19999999999999</v>
      </c>
      <c r="U237">
        <v>143</v>
      </c>
      <c r="V237">
        <v>151.6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  <c r="AF237">
        <f>SUM(Table2[[#This Row],[Cereals and products]:[Food and beverages]])</f>
        <v>1869.1</v>
      </c>
      <c r="AG237">
        <f>SUM(Table2[[#This Row],[Housing]:[Household goods and services]],Table2[[#This Row],[Transport and communication]],Table2[[#This Row],[Education]])</f>
        <v>687.5</v>
      </c>
      <c r="AH237">
        <f>SUM(Table2[[#This Row],[Clothing]:[Clothing and footwear]])</f>
        <v>420.2</v>
      </c>
      <c r="AI237">
        <f>SUM(Table2[[#This Row],[Pan, tobacco and intoxicants]],Table2[[#This Row],[Recreation and amusement]],Table2[[#This Row],[Personal care and effects]])</f>
        <v>441.1</v>
      </c>
    </row>
    <row r="238" spans="1:35" x14ac:dyDescent="0.25">
      <c r="A238" t="s">
        <v>35</v>
      </c>
      <c r="B238">
        <v>2019</v>
      </c>
      <c r="C238" t="s">
        <v>46</v>
      </c>
      <c r="D238" s="2">
        <v>43678</v>
      </c>
      <c r="E238">
        <v>140.1</v>
      </c>
      <c r="F238">
        <v>160.6</v>
      </c>
      <c r="G238">
        <v>138.5</v>
      </c>
      <c r="H238">
        <v>144.69999999999999</v>
      </c>
      <c r="I238">
        <v>122.9</v>
      </c>
      <c r="J238">
        <v>149.4</v>
      </c>
      <c r="K238">
        <v>167.4</v>
      </c>
      <c r="L238">
        <v>130.9</v>
      </c>
      <c r="M238">
        <v>112</v>
      </c>
      <c r="N238">
        <v>142.6</v>
      </c>
      <c r="O238">
        <v>134.9</v>
      </c>
      <c r="P238">
        <v>156.6</v>
      </c>
      <c r="Q238">
        <v>145.9</v>
      </c>
      <c r="R238">
        <v>165.8</v>
      </c>
      <c r="S238">
        <v>149.1</v>
      </c>
      <c r="T238">
        <v>140.6</v>
      </c>
      <c r="U238">
        <v>147.9</v>
      </c>
      <c r="V238">
        <v>151.6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  <c r="AF238">
        <f>SUM(Table2[[#This Row],[Cereals and products]:[Food and beverages]])</f>
        <v>1846.5</v>
      </c>
      <c r="AG238">
        <f>SUM(Table2[[#This Row],[Housing]:[Household goods and services]],Table2[[#This Row],[Transport and communication]],Table2[[#This Row],[Education]])</f>
        <v>715.3</v>
      </c>
      <c r="AH238">
        <f>SUM(Table2[[#This Row],[Clothing]:[Clothing and footwear]])</f>
        <v>437.6</v>
      </c>
      <c r="AI238">
        <f>SUM(Table2[[#This Row],[Pan, tobacco and intoxicants]],Table2[[#This Row],[Recreation and amusement]],Table2[[#This Row],[Personal care and effects]])</f>
        <v>445.1</v>
      </c>
    </row>
    <row r="239" spans="1:35" x14ac:dyDescent="0.25">
      <c r="A239" t="s">
        <v>30</v>
      </c>
      <c r="B239">
        <v>2019</v>
      </c>
      <c r="C239" t="s">
        <v>48</v>
      </c>
      <c r="D239" s="2">
        <v>43709</v>
      </c>
      <c r="E239">
        <v>140.1</v>
      </c>
      <c r="F239">
        <v>161.9</v>
      </c>
      <c r="G239">
        <v>138.30000000000001</v>
      </c>
      <c r="H239">
        <v>145.69999999999999</v>
      </c>
      <c r="I239">
        <v>125.1</v>
      </c>
      <c r="J239">
        <v>143.80000000000001</v>
      </c>
      <c r="K239">
        <v>163.4</v>
      </c>
      <c r="L239">
        <v>132.19999999999999</v>
      </c>
      <c r="M239">
        <v>112.8</v>
      </c>
      <c r="N239">
        <v>144.19999999999999</v>
      </c>
      <c r="O239">
        <v>138.5</v>
      </c>
      <c r="P239">
        <v>157.19999999999999</v>
      </c>
      <c r="Q239">
        <v>145.5</v>
      </c>
      <c r="R239">
        <v>165.7</v>
      </c>
      <c r="S239">
        <v>151.69999999999999</v>
      </c>
      <c r="T239">
        <v>146.6</v>
      </c>
      <c r="U239">
        <v>151</v>
      </c>
      <c r="V239">
        <v>152.19999999999999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  <c r="AF239">
        <f>SUM(Table2[[#This Row],[Cereals and products]:[Food and beverages]])</f>
        <v>1848.7</v>
      </c>
      <c r="AG239">
        <f>SUM(Table2[[#This Row],[Housing]:[Household goods and services]],Table2[[#This Row],[Transport and communication]],Table2[[#This Row],[Education]])</f>
        <v>741.2</v>
      </c>
      <c r="AH239">
        <f>SUM(Table2[[#This Row],[Clothing]:[Clothing and footwear]])</f>
        <v>449.29999999999995</v>
      </c>
      <c r="AI239">
        <f>SUM(Table2[[#This Row],[Pan, tobacco and intoxicants]],Table2[[#This Row],[Recreation and amusement]],Table2[[#This Row],[Personal care and effects]])</f>
        <v>454.2</v>
      </c>
    </row>
    <row r="240" spans="1:35" x14ac:dyDescent="0.25">
      <c r="A240" t="s">
        <v>33</v>
      </c>
      <c r="B240">
        <v>2019</v>
      </c>
      <c r="C240" t="s">
        <v>48</v>
      </c>
      <c r="D240" s="2">
        <v>43709</v>
      </c>
      <c r="E240">
        <v>142.69999999999999</v>
      </c>
      <c r="F240">
        <v>158.69999999999999</v>
      </c>
      <c r="G240">
        <v>141.6</v>
      </c>
      <c r="H240">
        <v>144.9</v>
      </c>
      <c r="I240">
        <v>120.8</v>
      </c>
      <c r="J240">
        <v>149.80000000000001</v>
      </c>
      <c r="K240">
        <v>192.4</v>
      </c>
      <c r="L240">
        <v>130.30000000000001</v>
      </c>
      <c r="M240">
        <v>114</v>
      </c>
      <c r="N240">
        <v>143.80000000000001</v>
      </c>
      <c r="O240">
        <v>130</v>
      </c>
      <c r="P240">
        <v>156.4</v>
      </c>
      <c r="Q240">
        <v>149.5</v>
      </c>
      <c r="R240">
        <v>168.6</v>
      </c>
      <c r="S240">
        <v>145.30000000000001</v>
      </c>
      <c r="T240">
        <v>132.19999999999999</v>
      </c>
      <c r="U240">
        <v>143.30000000000001</v>
      </c>
      <c r="V240">
        <v>152.19999999999999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  <c r="AF240">
        <f>SUM(Table2[[#This Row],[Cereals and products]:[Food and beverages]])</f>
        <v>1874.9</v>
      </c>
      <c r="AG240">
        <f>SUM(Table2[[#This Row],[Housing]:[Household goods and services]],Table2[[#This Row],[Transport and communication]],Table2[[#This Row],[Education]])</f>
        <v>689.9</v>
      </c>
      <c r="AH240">
        <f>SUM(Table2[[#This Row],[Clothing]:[Clothing and footwear]])</f>
        <v>420.8</v>
      </c>
      <c r="AI240">
        <f>SUM(Table2[[#This Row],[Pan, tobacco and intoxicants]],Table2[[#This Row],[Recreation and amusement]],Table2[[#This Row],[Personal care and effects]])</f>
        <v>443.5</v>
      </c>
    </row>
    <row r="241" spans="1:35" x14ac:dyDescent="0.25">
      <c r="A241" t="s">
        <v>35</v>
      </c>
      <c r="B241">
        <v>2019</v>
      </c>
      <c r="C241" t="s">
        <v>48</v>
      </c>
      <c r="D241" s="2">
        <v>43709</v>
      </c>
      <c r="E241">
        <v>140.9</v>
      </c>
      <c r="F241">
        <v>160.80000000000001</v>
      </c>
      <c r="G241">
        <v>139.6</v>
      </c>
      <c r="H241">
        <v>145.4</v>
      </c>
      <c r="I241">
        <v>123.5</v>
      </c>
      <c r="J241">
        <v>146.6</v>
      </c>
      <c r="K241">
        <v>173.2</v>
      </c>
      <c r="L241">
        <v>131.6</v>
      </c>
      <c r="M241">
        <v>113.2</v>
      </c>
      <c r="N241">
        <v>144.1</v>
      </c>
      <c r="O241">
        <v>135</v>
      </c>
      <c r="P241">
        <v>156.80000000000001</v>
      </c>
      <c r="Q241">
        <v>147</v>
      </c>
      <c r="R241">
        <v>166.5</v>
      </c>
      <c r="S241">
        <v>149.19999999999999</v>
      </c>
      <c r="T241">
        <v>140.6</v>
      </c>
      <c r="U241">
        <v>147.9</v>
      </c>
      <c r="V241">
        <v>152.19999999999999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  <c r="AF241">
        <f>SUM(Table2[[#This Row],[Cereals and products]:[Food and beverages]])</f>
        <v>1857.6999999999998</v>
      </c>
      <c r="AG241">
        <f>SUM(Table2[[#This Row],[Housing]:[Household goods and services]],Table2[[#This Row],[Transport and communication]],Table2[[#This Row],[Education]])</f>
        <v>717.3</v>
      </c>
      <c r="AH241">
        <f>SUM(Table2[[#This Row],[Clothing]:[Clothing and footwear]])</f>
        <v>437.69999999999993</v>
      </c>
      <c r="AI241">
        <f>SUM(Table2[[#This Row],[Pan, tobacco and intoxicants]],Table2[[#This Row],[Recreation and amusement]],Table2[[#This Row],[Personal care and effects]])</f>
        <v>447.5</v>
      </c>
    </row>
    <row r="242" spans="1:35" x14ac:dyDescent="0.25">
      <c r="A242" t="s">
        <v>30</v>
      </c>
      <c r="B242">
        <v>2019</v>
      </c>
      <c r="C242" t="s">
        <v>50</v>
      </c>
      <c r="D242" s="2">
        <v>43739</v>
      </c>
      <c r="E242">
        <v>141</v>
      </c>
      <c r="F242">
        <v>161.6</v>
      </c>
      <c r="G242">
        <v>141.19999999999999</v>
      </c>
      <c r="H242">
        <v>146.5</v>
      </c>
      <c r="I242">
        <v>125.6</v>
      </c>
      <c r="J242">
        <v>145.69999999999999</v>
      </c>
      <c r="K242">
        <v>178.8</v>
      </c>
      <c r="L242">
        <v>133.1</v>
      </c>
      <c r="M242">
        <v>113.6</v>
      </c>
      <c r="N242">
        <v>145.5</v>
      </c>
      <c r="O242">
        <v>138.6</v>
      </c>
      <c r="P242">
        <v>157.4</v>
      </c>
      <c r="Q242">
        <v>148.30000000000001</v>
      </c>
      <c r="R242">
        <v>166.3</v>
      </c>
      <c r="S242">
        <v>151.69999999999999</v>
      </c>
      <c r="T242">
        <v>146.69999999999999</v>
      </c>
      <c r="U242">
        <v>151</v>
      </c>
      <c r="V242">
        <v>153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  <c r="AF242">
        <f>SUM(Table2[[#This Row],[Cereals and products]:[Food and beverages]])</f>
        <v>1876.8999999999996</v>
      </c>
      <c r="AG242">
        <f>SUM(Table2[[#This Row],[Housing]:[Household goods and services]],Table2[[#This Row],[Transport and communication]],Table2[[#This Row],[Education]])</f>
        <v>743.7</v>
      </c>
      <c r="AH242">
        <f>SUM(Table2[[#This Row],[Clothing]:[Clothing and footwear]])</f>
        <v>449.4</v>
      </c>
      <c r="AI242">
        <f>SUM(Table2[[#This Row],[Pan, tobacco and intoxicants]],Table2[[#This Row],[Recreation and amusement]],Table2[[#This Row],[Personal care and effects]])</f>
        <v>455.3</v>
      </c>
    </row>
    <row r="243" spans="1:35" x14ac:dyDescent="0.25">
      <c r="A243" t="s">
        <v>33</v>
      </c>
      <c r="B243">
        <v>2019</v>
      </c>
      <c r="C243" t="s">
        <v>50</v>
      </c>
      <c r="D243" s="2">
        <v>43739</v>
      </c>
      <c r="E243">
        <v>143.5</v>
      </c>
      <c r="F243">
        <v>159.80000000000001</v>
      </c>
      <c r="G243">
        <v>144.69999999999999</v>
      </c>
      <c r="H243">
        <v>145.6</v>
      </c>
      <c r="I243">
        <v>121.1</v>
      </c>
      <c r="J243">
        <v>150.6</v>
      </c>
      <c r="K243">
        <v>207.2</v>
      </c>
      <c r="L243">
        <v>131.19999999999999</v>
      </c>
      <c r="M243">
        <v>114.8</v>
      </c>
      <c r="N243">
        <v>145.19999999999999</v>
      </c>
      <c r="O243">
        <v>130.19999999999999</v>
      </c>
      <c r="P243">
        <v>156.80000000000001</v>
      </c>
      <c r="Q243">
        <v>151.9</v>
      </c>
      <c r="R243">
        <v>169.3</v>
      </c>
      <c r="S243">
        <v>145.9</v>
      </c>
      <c r="T243">
        <v>132.4</v>
      </c>
      <c r="U243">
        <v>143.9</v>
      </c>
      <c r="V243">
        <v>153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  <c r="AF243">
        <f>SUM(Table2[[#This Row],[Cereals and products]:[Food and beverages]])</f>
        <v>1902.6000000000001</v>
      </c>
      <c r="AG243">
        <f>SUM(Table2[[#This Row],[Housing]:[Household goods and services]],Table2[[#This Row],[Transport and communication]],Table2[[#This Row],[Education]])</f>
        <v>693.8</v>
      </c>
      <c r="AH243">
        <f>SUM(Table2[[#This Row],[Clothing]:[Clothing and footwear]])</f>
        <v>422.20000000000005</v>
      </c>
      <c r="AI243">
        <f>SUM(Table2[[#This Row],[Pan, tobacco and intoxicants]],Table2[[#This Row],[Recreation and amusement]],Table2[[#This Row],[Personal care and effects]])</f>
        <v>445</v>
      </c>
    </row>
    <row r="244" spans="1:35" x14ac:dyDescent="0.25">
      <c r="A244" t="s">
        <v>35</v>
      </c>
      <c r="B244">
        <v>2019</v>
      </c>
      <c r="C244" t="s">
        <v>50</v>
      </c>
      <c r="D244" s="2">
        <v>43739</v>
      </c>
      <c r="E244">
        <v>141.80000000000001</v>
      </c>
      <c r="F244">
        <v>161</v>
      </c>
      <c r="G244">
        <v>142.6</v>
      </c>
      <c r="H244">
        <v>146.19999999999999</v>
      </c>
      <c r="I244">
        <v>123.9</v>
      </c>
      <c r="J244">
        <v>148</v>
      </c>
      <c r="K244">
        <v>188.4</v>
      </c>
      <c r="L244">
        <v>132.5</v>
      </c>
      <c r="M244">
        <v>114</v>
      </c>
      <c r="N244">
        <v>145.4</v>
      </c>
      <c r="O244">
        <v>135.1</v>
      </c>
      <c r="P244">
        <v>157.1</v>
      </c>
      <c r="Q244">
        <v>149.6</v>
      </c>
      <c r="R244">
        <v>167.1</v>
      </c>
      <c r="S244">
        <v>149.4</v>
      </c>
      <c r="T244">
        <v>140.80000000000001</v>
      </c>
      <c r="U244">
        <v>148.19999999999999</v>
      </c>
      <c r="V244">
        <v>153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  <c r="AF244">
        <f>SUM(Table2[[#This Row],[Cereals and products]:[Food and beverages]])</f>
        <v>1885.5999999999997</v>
      </c>
      <c r="AG244">
        <f>SUM(Table2[[#This Row],[Housing]:[Household goods and services]],Table2[[#This Row],[Transport and communication]],Table2[[#This Row],[Education]])</f>
        <v>720.3</v>
      </c>
      <c r="AH244">
        <f>SUM(Table2[[#This Row],[Clothing]:[Clothing and footwear]])</f>
        <v>438.40000000000003</v>
      </c>
      <c r="AI244">
        <f>SUM(Table2[[#This Row],[Pan, tobacco and intoxicants]],Table2[[#This Row],[Recreation and amusement]],Table2[[#This Row],[Personal care and effects]])</f>
        <v>448.79999999999995</v>
      </c>
    </row>
    <row r="245" spans="1:35" x14ac:dyDescent="0.25">
      <c r="A245" t="s">
        <v>30</v>
      </c>
      <c r="B245">
        <v>2019</v>
      </c>
      <c r="C245" t="s">
        <v>53</v>
      </c>
      <c r="D245" s="2">
        <v>43770</v>
      </c>
      <c r="E245">
        <v>141.80000000000001</v>
      </c>
      <c r="F245">
        <v>163.69999999999999</v>
      </c>
      <c r="G245">
        <v>143.80000000000001</v>
      </c>
      <c r="H245">
        <v>147.1</v>
      </c>
      <c r="I245">
        <v>126</v>
      </c>
      <c r="J245">
        <v>146.19999999999999</v>
      </c>
      <c r="K245">
        <v>191.4</v>
      </c>
      <c r="L245">
        <v>136.19999999999999</v>
      </c>
      <c r="M245">
        <v>113.8</v>
      </c>
      <c r="N245">
        <v>147.30000000000001</v>
      </c>
      <c r="O245">
        <v>138.69999999999999</v>
      </c>
      <c r="P245">
        <v>157.69999999999999</v>
      </c>
      <c r="Q245">
        <v>150.9</v>
      </c>
      <c r="R245">
        <v>167.2</v>
      </c>
      <c r="S245">
        <v>152.30000000000001</v>
      </c>
      <c r="T245">
        <v>147</v>
      </c>
      <c r="U245">
        <v>151.5</v>
      </c>
      <c r="V245">
        <v>153.5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  <c r="AF245">
        <f>SUM(Table2[[#This Row],[Cereals and products]:[Food and beverages]])</f>
        <v>1904.6000000000001</v>
      </c>
      <c r="AG245">
        <f>SUM(Table2[[#This Row],[Housing]:[Household goods and services]],Table2[[#This Row],[Transport and communication]],Table2[[#This Row],[Education]])</f>
        <v>745.7</v>
      </c>
      <c r="AH245">
        <f>SUM(Table2[[#This Row],[Clothing]:[Clothing and footwear]])</f>
        <v>450.8</v>
      </c>
      <c r="AI245">
        <f>SUM(Table2[[#This Row],[Pan, tobacco and intoxicants]],Table2[[#This Row],[Recreation and amusement]],Table2[[#This Row],[Personal care and effects]])</f>
        <v>456.9</v>
      </c>
    </row>
    <row r="246" spans="1:35" x14ac:dyDescent="0.25">
      <c r="A246" t="s">
        <v>33</v>
      </c>
      <c r="B246">
        <v>2019</v>
      </c>
      <c r="C246" t="s">
        <v>53</v>
      </c>
      <c r="D246" s="2">
        <v>43770</v>
      </c>
      <c r="E246">
        <v>144.1</v>
      </c>
      <c r="F246">
        <v>162.4</v>
      </c>
      <c r="G246">
        <v>148.4</v>
      </c>
      <c r="H246">
        <v>145.9</v>
      </c>
      <c r="I246">
        <v>121.5</v>
      </c>
      <c r="J246">
        <v>148.80000000000001</v>
      </c>
      <c r="K246">
        <v>215.7</v>
      </c>
      <c r="L246">
        <v>134.6</v>
      </c>
      <c r="M246">
        <v>115</v>
      </c>
      <c r="N246">
        <v>146.30000000000001</v>
      </c>
      <c r="O246">
        <v>130.5</v>
      </c>
      <c r="P246">
        <v>157.19999999999999</v>
      </c>
      <c r="Q246">
        <v>153.6</v>
      </c>
      <c r="R246">
        <v>169.9</v>
      </c>
      <c r="S246">
        <v>146.30000000000001</v>
      </c>
      <c r="T246">
        <v>132.6</v>
      </c>
      <c r="U246">
        <v>144.19999999999999</v>
      </c>
      <c r="V246">
        <v>153.5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  <c r="AF246">
        <f>SUM(Table2[[#This Row],[Cereals and products]:[Food and beverages]])</f>
        <v>1923.9999999999998</v>
      </c>
      <c r="AG246">
        <f>SUM(Table2[[#This Row],[Housing]:[Household goods and services]],Table2[[#This Row],[Transport and communication]],Table2[[#This Row],[Education]])</f>
        <v>698.3</v>
      </c>
      <c r="AH246">
        <f>SUM(Table2[[#This Row],[Clothing]:[Clothing and footwear]])</f>
        <v>423.09999999999997</v>
      </c>
      <c r="AI246">
        <f>SUM(Table2[[#This Row],[Pan, tobacco and intoxicants]],Table2[[#This Row],[Recreation and amusement]],Table2[[#This Row],[Personal care and effects]])</f>
        <v>446.40000000000003</v>
      </c>
    </row>
    <row r="247" spans="1:35" x14ac:dyDescent="0.25">
      <c r="A247" t="s">
        <v>35</v>
      </c>
      <c r="B247">
        <v>2019</v>
      </c>
      <c r="C247" t="s">
        <v>53</v>
      </c>
      <c r="D247" s="2">
        <v>43770</v>
      </c>
      <c r="E247">
        <v>142.5</v>
      </c>
      <c r="F247">
        <v>163.19999999999999</v>
      </c>
      <c r="G247">
        <v>145.6</v>
      </c>
      <c r="H247">
        <v>146.69999999999999</v>
      </c>
      <c r="I247">
        <v>124.3</v>
      </c>
      <c r="J247">
        <v>147.4</v>
      </c>
      <c r="K247">
        <v>199.6</v>
      </c>
      <c r="L247">
        <v>135.69999999999999</v>
      </c>
      <c r="M247">
        <v>114.2</v>
      </c>
      <c r="N247">
        <v>147</v>
      </c>
      <c r="O247">
        <v>135.30000000000001</v>
      </c>
      <c r="P247">
        <v>157.5</v>
      </c>
      <c r="Q247">
        <v>151.9</v>
      </c>
      <c r="R247">
        <v>167.9</v>
      </c>
      <c r="S247">
        <v>149.9</v>
      </c>
      <c r="T247">
        <v>141</v>
      </c>
      <c r="U247">
        <v>148.6</v>
      </c>
      <c r="V247">
        <v>153.5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  <c r="AF247">
        <f>SUM(Table2[[#This Row],[Cereals and products]:[Food and beverages]])</f>
        <v>1910.9</v>
      </c>
      <c r="AG247">
        <f>SUM(Table2[[#This Row],[Housing]:[Household goods and services]],Table2[[#This Row],[Transport and communication]],Table2[[#This Row],[Education]])</f>
        <v>723.2</v>
      </c>
      <c r="AH247">
        <f>SUM(Table2[[#This Row],[Clothing]:[Clothing and footwear]])</f>
        <v>439.5</v>
      </c>
      <c r="AI247">
        <f>SUM(Table2[[#This Row],[Pan, tobacco and intoxicants]],Table2[[#This Row],[Recreation and amusement]],Table2[[#This Row],[Personal care and effects]])</f>
        <v>450.3</v>
      </c>
    </row>
    <row r="248" spans="1:35" x14ac:dyDescent="0.25">
      <c r="A248" t="s">
        <v>30</v>
      </c>
      <c r="B248">
        <v>2019</v>
      </c>
      <c r="C248" t="s">
        <v>55</v>
      </c>
      <c r="D248" s="2">
        <v>43800</v>
      </c>
      <c r="E248">
        <v>142.80000000000001</v>
      </c>
      <c r="F248">
        <v>165.3</v>
      </c>
      <c r="G248">
        <v>149.5</v>
      </c>
      <c r="H248">
        <v>148.69999999999999</v>
      </c>
      <c r="I248">
        <v>127.5</v>
      </c>
      <c r="J248">
        <v>144.30000000000001</v>
      </c>
      <c r="K248">
        <v>209.5</v>
      </c>
      <c r="L248">
        <v>138.80000000000001</v>
      </c>
      <c r="M248">
        <v>113.6</v>
      </c>
      <c r="N248">
        <v>149.1</v>
      </c>
      <c r="O248">
        <v>139.30000000000001</v>
      </c>
      <c r="P248">
        <v>158.30000000000001</v>
      </c>
      <c r="Q248">
        <v>154.30000000000001</v>
      </c>
      <c r="R248">
        <v>167.8</v>
      </c>
      <c r="S248">
        <v>152.6</v>
      </c>
      <c r="T248">
        <v>147.30000000000001</v>
      </c>
      <c r="U248">
        <v>151.9</v>
      </c>
      <c r="V248">
        <v>152.80000000000001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  <c r="AF248">
        <f>SUM(Table2[[#This Row],[Cereals and products]:[Food and beverages]])</f>
        <v>1940.9999999999995</v>
      </c>
      <c r="AG248">
        <f>SUM(Table2[[#This Row],[Housing]:[Household goods and services]],Table2[[#This Row],[Transport and communication]],Table2[[#This Row],[Education]])</f>
        <v>750.00000000000011</v>
      </c>
      <c r="AH248">
        <f>SUM(Table2[[#This Row],[Clothing]:[Clothing and footwear]])</f>
        <v>451.79999999999995</v>
      </c>
      <c r="AI248">
        <f>SUM(Table2[[#This Row],[Pan, tobacco and intoxicants]],Table2[[#This Row],[Recreation and amusement]],Table2[[#This Row],[Personal care and effects]])</f>
        <v>457.9</v>
      </c>
    </row>
    <row r="249" spans="1:35" x14ac:dyDescent="0.25">
      <c r="A249" t="s">
        <v>33</v>
      </c>
      <c r="B249">
        <v>2019</v>
      </c>
      <c r="C249" t="s">
        <v>55</v>
      </c>
      <c r="D249" s="2">
        <v>43800</v>
      </c>
      <c r="E249">
        <v>144.9</v>
      </c>
      <c r="F249">
        <v>164.5</v>
      </c>
      <c r="G249">
        <v>153.69999999999999</v>
      </c>
      <c r="H249">
        <v>147.5</v>
      </c>
      <c r="I249">
        <v>122.7</v>
      </c>
      <c r="J249">
        <v>147.19999999999999</v>
      </c>
      <c r="K249">
        <v>231.5</v>
      </c>
      <c r="L249">
        <v>137.19999999999999</v>
      </c>
      <c r="M249">
        <v>114.7</v>
      </c>
      <c r="N249">
        <v>148</v>
      </c>
      <c r="O249">
        <v>130.80000000000001</v>
      </c>
      <c r="P249">
        <v>157.69999999999999</v>
      </c>
      <c r="Q249">
        <v>156.30000000000001</v>
      </c>
      <c r="R249">
        <v>170.4</v>
      </c>
      <c r="S249">
        <v>146.80000000000001</v>
      </c>
      <c r="T249">
        <v>132.80000000000001</v>
      </c>
      <c r="U249">
        <v>144.6</v>
      </c>
      <c r="V249">
        <v>152.80000000000001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  <c r="AF249">
        <f>SUM(Table2[[#This Row],[Cereals and products]:[Food and beverages]])</f>
        <v>1956.7</v>
      </c>
      <c r="AG249">
        <f>SUM(Table2[[#This Row],[Housing]:[Household goods and services]],Table2[[#This Row],[Transport and communication]],Table2[[#This Row],[Education]])</f>
        <v>703.3</v>
      </c>
      <c r="AH249">
        <f>SUM(Table2[[#This Row],[Clothing]:[Clothing and footwear]])</f>
        <v>424.20000000000005</v>
      </c>
      <c r="AI249">
        <f>SUM(Table2[[#This Row],[Pan, tobacco and intoxicants]],Table2[[#This Row],[Recreation and amusement]],Table2[[#This Row],[Personal care and effects]])</f>
        <v>447.40000000000003</v>
      </c>
    </row>
    <row r="250" spans="1:35" x14ac:dyDescent="0.25">
      <c r="A250" t="s">
        <v>35</v>
      </c>
      <c r="B250">
        <v>2019</v>
      </c>
      <c r="C250" t="s">
        <v>55</v>
      </c>
      <c r="D250" s="2">
        <v>43800</v>
      </c>
      <c r="E250">
        <v>143.5</v>
      </c>
      <c r="F250">
        <v>165</v>
      </c>
      <c r="G250">
        <v>151.1</v>
      </c>
      <c r="H250">
        <v>148.30000000000001</v>
      </c>
      <c r="I250">
        <v>125.7</v>
      </c>
      <c r="J250">
        <v>145.69999999999999</v>
      </c>
      <c r="K250">
        <v>217</v>
      </c>
      <c r="L250">
        <v>138.30000000000001</v>
      </c>
      <c r="M250">
        <v>114</v>
      </c>
      <c r="N250">
        <v>148.69999999999999</v>
      </c>
      <c r="O250">
        <v>135.80000000000001</v>
      </c>
      <c r="P250">
        <v>158</v>
      </c>
      <c r="Q250">
        <v>155</v>
      </c>
      <c r="R250">
        <v>168.5</v>
      </c>
      <c r="S250">
        <v>150.30000000000001</v>
      </c>
      <c r="T250">
        <v>141.30000000000001</v>
      </c>
      <c r="U250">
        <v>149</v>
      </c>
      <c r="V250">
        <v>152.80000000000001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  <c r="AF250">
        <f>SUM(Table2[[#This Row],[Cereals and products]:[Food and beverages]])</f>
        <v>1946.1000000000001</v>
      </c>
      <c r="AG250">
        <f>SUM(Table2[[#This Row],[Housing]:[Household goods and services]],Table2[[#This Row],[Transport and communication]],Table2[[#This Row],[Education]])</f>
        <v>727.8</v>
      </c>
      <c r="AH250">
        <f>SUM(Table2[[#This Row],[Clothing]:[Clothing and footwear]])</f>
        <v>440.6</v>
      </c>
      <c r="AI250">
        <f>SUM(Table2[[#This Row],[Pan, tobacco and intoxicants]],Table2[[#This Row],[Recreation and amusement]],Table2[[#This Row],[Personal care and effects]])</f>
        <v>451.20000000000005</v>
      </c>
    </row>
    <row r="251" spans="1:35" x14ac:dyDescent="0.25">
      <c r="A251" t="s">
        <v>30</v>
      </c>
      <c r="B251">
        <v>2020</v>
      </c>
      <c r="C251" t="s">
        <v>31</v>
      </c>
      <c r="D251" s="2">
        <v>43831</v>
      </c>
      <c r="E251">
        <v>143.69999999999999</v>
      </c>
      <c r="F251">
        <v>167.3</v>
      </c>
      <c r="G251">
        <v>153.5</v>
      </c>
      <c r="H251">
        <v>150.5</v>
      </c>
      <c r="I251">
        <v>132</v>
      </c>
      <c r="J251">
        <v>142.19999999999999</v>
      </c>
      <c r="K251">
        <v>191.5</v>
      </c>
      <c r="L251">
        <v>141.1</v>
      </c>
      <c r="M251">
        <v>113.8</v>
      </c>
      <c r="N251">
        <v>151.6</v>
      </c>
      <c r="O251">
        <v>139.69999999999999</v>
      </c>
      <c r="P251">
        <v>158.69999999999999</v>
      </c>
      <c r="Q251">
        <v>153</v>
      </c>
      <c r="R251">
        <v>168.6</v>
      </c>
      <c r="S251">
        <v>152.80000000000001</v>
      </c>
      <c r="T251">
        <v>147.4</v>
      </c>
      <c r="U251">
        <v>152.1</v>
      </c>
      <c r="V251">
        <v>153.9</v>
      </c>
      <c r="W251">
        <v>150.4</v>
      </c>
      <c r="X251">
        <v>151.69999999999999</v>
      </c>
      <c r="Y251">
        <v>155.69999999999999</v>
      </c>
      <c r="Z251">
        <v>136.30000000000001</v>
      </c>
      <c r="AA251">
        <v>150.1</v>
      </c>
      <c r="AB251">
        <v>161.69999999999999</v>
      </c>
      <c r="AC251">
        <v>142.5</v>
      </c>
      <c r="AD251">
        <v>148.1</v>
      </c>
      <c r="AE251">
        <v>151.9</v>
      </c>
      <c r="AF251">
        <f>SUM(Table2[[#This Row],[Cereals and products]:[Food and beverages]])</f>
        <v>1938.6</v>
      </c>
      <c r="AG251">
        <f>SUM(Table2[[#This Row],[Housing]:[Household goods and services]],Table2[[#This Row],[Transport and communication]],Table2[[#This Row],[Education]])</f>
        <v>754</v>
      </c>
      <c r="AH251">
        <f>SUM(Table2[[#This Row],[Clothing]:[Clothing and footwear]])</f>
        <v>452.30000000000007</v>
      </c>
      <c r="AI251">
        <f>SUM(Table2[[#This Row],[Pan, tobacco and intoxicants]],Table2[[#This Row],[Recreation and amusement]],Table2[[#This Row],[Personal care and effects]])</f>
        <v>461.2</v>
      </c>
    </row>
    <row r="252" spans="1:35" x14ac:dyDescent="0.25">
      <c r="A252" t="s">
        <v>33</v>
      </c>
      <c r="B252">
        <v>2020</v>
      </c>
      <c r="C252" t="s">
        <v>31</v>
      </c>
      <c r="D252" s="2">
        <v>43831</v>
      </c>
      <c r="E252">
        <v>145.6</v>
      </c>
      <c r="F252">
        <v>167.6</v>
      </c>
      <c r="G252">
        <v>157</v>
      </c>
      <c r="H252">
        <v>149.30000000000001</v>
      </c>
      <c r="I252">
        <v>126.3</v>
      </c>
      <c r="J252">
        <v>144.4</v>
      </c>
      <c r="K252">
        <v>207.8</v>
      </c>
      <c r="L252">
        <v>139.1</v>
      </c>
      <c r="M252">
        <v>114.8</v>
      </c>
      <c r="N252">
        <v>149.5</v>
      </c>
      <c r="O252">
        <v>131.1</v>
      </c>
      <c r="P252">
        <v>158.5</v>
      </c>
      <c r="Q252">
        <v>154.4</v>
      </c>
      <c r="R252">
        <v>170.8</v>
      </c>
      <c r="S252">
        <v>147</v>
      </c>
      <c r="T252">
        <v>133.19999999999999</v>
      </c>
      <c r="U252">
        <v>144.9</v>
      </c>
      <c r="V252">
        <v>153.9</v>
      </c>
      <c r="W252">
        <v>135.1</v>
      </c>
      <c r="X252">
        <v>140.1</v>
      </c>
      <c r="Y252">
        <v>143.80000000000001</v>
      </c>
      <c r="Z252">
        <v>126.1</v>
      </c>
      <c r="AA252">
        <v>137.19999999999999</v>
      </c>
      <c r="AB252">
        <v>152.1</v>
      </c>
      <c r="AC252">
        <v>142.1</v>
      </c>
      <c r="AD252">
        <v>138.4</v>
      </c>
      <c r="AE252">
        <v>148.19999999999999</v>
      </c>
      <c r="AF252">
        <f>SUM(Table2[[#This Row],[Cereals and products]:[Food and beverages]])</f>
        <v>1945.3999999999999</v>
      </c>
      <c r="AG252">
        <f>SUM(Table2[[#This Row],[Housing]:[Household goods and services]],Table2[[#This Row],[Transport and communication]],Table2[[#This Row],[Education]])</f>
        <v>707.30000000000007</v>
      </c>
      <c r="AH252">
        <f>SUM(Table2[[#This Row],[Clothing]:[Clothing and footwear]])</f>
        <v>425.1</v>
      </c>
      <c r="AI252">
        <f>SUM(Table2[[#This Row],[Pan, tobacco and intoxicants]],Table2[[#This Row],[Recreation and amusement]],Table2[[#This Row],[Personal care and effects]])</f>
        <v>450.1</v>
      </c>
    </row>
    <row r="253" spans="1:35" x14ac:dyDescent="0.25">
      <c r="A253" t="s">
        <v>35</v>
      </c>
      <c r="B253">
        <v>2020</v>
      </c>
      <c r="C253" t="s">
        <v>31</v>
      </c>
      <c r="D253" s="2">
        <v>43831</v>
      </c>
      <c r="E253">
        <v>144.30000000000001</v>
      </c>
      <c r="F253">
        <v>167.4</v>
      </c>
      <c r="G253">
        <v>154.9</v>
      </c>
      <c r="H253">
        <v>150.1</v>
      </c>
      <c r="I253">
        <v>129.9</v>
      </c>
      <c r="J253">
        <v>143.19999999999999</v>
      </c>
      <c r="K253">
        <v>197</v>
      </c>
      <c r="L253">
        <v>140.4</v>
      </c>
      <c r="M253">
        <v>114.1</v>
      </c>
      <c r="N253">
        <v>150.9</v>
      </c>
      <c r="O253">
        <v>136.1</v>
      </c>
      <c r="P253">
        <v>158.6</v>
      </c>
      <c r="Q253">
        <v>153.5</v>
      </c>
      <c r="R253">
        <v>169.2</v>
      </c>
      <c r="S253">
        <v>150.5</v>
      </c>
      <c r="T253">
        <v>141.5</v>
      </c>
      <c r="U253">
        <v>149.19999999999999</v>
      </c>
      <c r="V253">
        <v>153.9</v>
      </c>
      <c r="W253">
        <v>144.6</v>
      </c>
      <c r="X253">
        <v>146.19999999999999</v>
      </c>
      <c r="Y253">
        <v>151.19999999999999</v>
      </c>
      <c r="Z253">
        <v>130.9</v>
      </c>
      <c r="AA253">
        <v>142.80000000000001</v>
      </c>
      <c r="AB253">
        <v>156.1</v>
      </c>
      <c r="AC253">
        <v>142.30000000000001</v>
      </c>
      <c r="AD253">
        <v>143.4</v>
      </c>
      <c r="AE253">
        <v>150.19999999999999</v>
      </c>
      <c r="AF253">
        <f>SUM(Table2[[#This Row],[Cereals and products]:[Food and beverages]])</f>
        <v>1940.3999999999999</v>
      </c>
      <c r="AG253">
        <f>SUM(Table2[[#This Row],[Housing]:[Household goods and services]],Table2[[#This Row],[Transport and communication]],Table2[[#This Row],[Education]])</f>
        <v>731.7</v>
      </c>
      <c r="AH253">
        <f>SUM(Table2[[#This Row],[Clothing]:[Clothing and footwear]])</f>
        <v>441.2</v>
      </c>
      <c r="AI253">
        <f>SUM(Table2[[#This Row],[Pan, tobacco and intoxicants]],Table2[[#This Row],[Recreation and amusement]],Table2[[#This Row],[Personal care and effects]])</f>
        <v>454.3</v>
      </c>
    </row>
    <row r="254" spans="1:35" x14ac:dyDescent="0.25">
      <c r="A254" t="s">
        <v>30</v>
      </c>
      <c r="B254">
        <v>2020</v>
      </c>
      <c r="C254" t="s">
        <v>36</v>
      </c>
      <c r="D254" s="2">
        <v>43862</v>
      </c>
      <c r="E254">
        <v>144.19999999999999</v>
      </c>
      <c r="F254">
        <v>167.5</v>
      </c>
      <c r="G254">
        <v>150.9</v>
      </c>
      <c r="H254">
        <v>150.9</v>
      </c>
      <c r="I254">
        <v>133.69999999999999</v>
      </c>
      <c r="J254">
        <v>140.69999999999999</v>
      </c>
      <c r="K254">
        <v>165.1</v>
      </c>
      <c r="L254">
        <v>141.80000000000001</v>
      </c>
      <c r="M254">
        <v>113.1</v>
      </c>
      <c r="N254">
        <v>152.80000000000001</v>
      </c>
      <c r="O254">
        <v>140.1</v>
      </c>
      <c r="P254">
        <v>159.19999999999999</v>
      </c>
      <c r="Q254">
        <v>149.80000000000001</v>
      </c>
      <c r="R254">
        <v>169.4</v>
      </c>
      <c r="S254">
        <v>153</v>
      </c>
      <c r="T254">
        <v>147.5</v>
      </c>
      <c r="U254">
        <v>152.30000000000001</v>
      </c>
      <c r="V254">
        <v>154.80000000000001</v>
      </c>
      <c r="W254">
        <v>152.30000000000001</v>
      </c>
      <c r="X254">
        <v>151.80000000000001</v>
      </c>
      <c r="Y254">
        <v>156.19999999999999</v>
      </c>
      <c r="Z254">
        <v>136</v>
      </c>
      <c r="AA254">
        <v>150.4</v>
      </c>
      <c r="AB254">
        <v>161.9</v>
      </c>
      <c r="AC254">
        <v>143.4</v>
      </c>
      <c r="AD254">
        <v>148.4</v>
      </c>
      <c r="AE254">
        <v>150.4</v>
      </c>
      <c r="AF254">
        <f>SUM(Table2[[#This Row],[Cereals and products]:[Food and beverages]])</f>
        <v>1909.7999999999997</v>
      </c>
      <c r="AG254">
        <f>SUM(Table2[[#This Row],[Housing]:[Household goods and services]],Table2[[#This Row],[Transport and communication]],Table2[[#This Row],[Education]])</f>
        <v>756.80000000000007</v>
      </c>
      <c r="AH254">
        <f>SUM(Table2[[#This Row],[Clothing]:[Clothing and footwear]])</f>
        <v>452.8</v>
      </c>
      <c r="AI254">
        <f>SUM(Table2[[#This Row],[Pan, tobacco and intoxicants]],Table2[[#This Row],[Recreation and amusement]],Table2[[#This Row],[Personal care and effects]])</f>
        <v>463.20000000000005</v>
      </c>
    </row>
    <row r="255" spans="1:35" x14ac:dyDescent="0.25">
      <c r="A255" t="s">
        <v>33</v>
      </c>
      <c r="B255">
        <v>2020</v>
      </c>
      <c r="C255" t="s">
        <v>36</v>
      </c>
      <c r="D255" s="2">
        <v>43862</v>
      </c>
      <c r="E255">
        <v>146.19999999999999</v>
      </c>
      <c r="F255">
        <v>167.6</v>
      </c>
      <c r="G255">
        <v>153.1</v>
      </c>
      <c r="H255">
        <v>150.69999999999999</v>
      </c>
      <c r="I255">
        <v>127.4</v>
      </c>
      <c r="J255">
        <v>143.1</v>
      </c>
      <c r="K255">
        <v>181.7</v>
      </c>
      <c r="L255">
        <v>139.6</v>
      </c>
      <c r="M255">
        <v>114.6</v>
      </c>
      <c r="N255">
        <v>150.4</v>
      </c>
      <c r="O255">
        <v>131.5</v>
      </c>
      <c r="P255">
        <v>159</v>
      </c>
      <c r="Q255">
        <v>151.69999999999999</v>
      </c>
      <c r="R255">
        <v>172</v>
      </c>
      <c r="S255">
        <v>147.30000000000001</v>
      </c>
      <c r="T255">
        <v>133.5</v>
      </c>
      <c r="U255">
        <v>145.19999999999999</v>
      </c>
      <c r="V255">
        <v>154.80000000000001</v>
      </c>
      <c r="W255">
        <v>138.9</v>
      </c>
      <c r="X255">
        <v>140.4</v>
      </c>
      <c r="Y255">
        <v>144.4</v>
      </c>
      <c r="Z255">
        <v>125.2</v>
      </c>
      <c r="AA255">
        <v>137.69999999999999</v>
      </c>
      <c r="AB255">
        <v>152.19999999999999</v>
      </c>
      <c r="AC255">
        <v>143.5</v>
      </c>
      <c r="AD255">
        <v>138.4</v>
      </c>
      <c r="AE255">
        <v>147.69999999999999</v>
      </c>
      <c r="AF255">
        <f>SUM(Table2[[#This Row],[Cereals and products]:[Food and beverages]])</f>
        <v>1916.6</v>
      </c>
      <c r="AG255">
        <f>SUM(Table2[[#This Row],[Housing]:[Household goods and services]],Table2[[#This Row],[Transport and communication]],Table2[[#This Row],[Education]])</f>
        <v>711.5</v>
      </c>
      <c r="AH255">
        <f>SUM(Table2[[#This Row],[Clothing]:[Clothing and footwear]])</f>
        <v>426</v>
      </c>
      <c r="AI255">
        <f>SUM(Table2[[#This Row],[Pan, tobacco and intoxicants]],Table2[[#This Row],[Recreation and amusement]],Table2[[#This Row],[Personal care and effects]])</f>
        <v>453.2</v>
      </c>
    </row>
    <row r="256" spans="1:35" x14ac:dyDescent="0.25">
      <c r="A256" t="s">
        <v>35</v>
      </c>
      <c r="B256">
        <v>2020</v>
      </c>
      <c r="C256" t="s">
        <v>36</v>
      </c>
      <c r="D256" s="2">
        <v>43862</v>
      </c>
      <c r="E256">
        <v>144.80000000000001</v>
      </c>
      <c r="F256">
        <v>167.5</v>
      </c>
      <c r="G256">
        <v>151.80000000000001</v>
      </c>
      <c r="H256">
        <v>150.80000000000001</v>
      </c>
      <c r="I256">
        <v>131.4</v>
      </c>
      <c r="J256">
        <v>141.80000000000001</v>
      </c>
      <c r="K256">
        <v>170.7</v>
      </c>
      <c r="L256">
        <v>141.1</v>
      </c>
      <c r="M256">
        <v>113.6</v>
      </c>
      <c r="N256">
        <v>152</v>
      </c>
      <c r="O256">
        <v>136.5</v>
      </c>
      <c r="P256">
        <v>159.1</v>
      </c>
      <c r="Q256">
        <v>150.5</v>
      </c>
      <c r="R256">
        <v>170.1</v>
      </c>
      <c r="S256">
        <v>150.80000000000001</v>
      </c>
      <c r="T256">
        <v>141.69999999999999</v>
      </c>
      <c r="U256">
        <v>149.5</v>
      </c>
      <c r="V256">
        <v>154.80000000000001</v>
      </c>
      <c r="W256">
        <v>147.19999999999999</v>
      </c>
      <c r="X256">
        <v>146.4</v>
      </c>
      <c r="Y256">
        <v>151.69999999999999</v>
      </c>
      <c r="Z256">
        <v>130.30000000000001</v>
      </c>
      <c r="AA256">
        <v>143.19999999999999</v>
      </c>
      <c r="AB256">
        <v>156.19999999999999</v>
      </c>
      <c r="AC256">
        <v>143.4</v>
      </c>
      <c r="AD256">
        <v>143.6</v>
      </c>
      <c r="AE256">
        <v>149.1</v>
      </c>
      <c r="AF256">
        <f>SUM(Table2[[#This Row],[Cereals and products]:[Food and beverages]])</f>
        <v>1911.6</v>
      </c>
      <c r="AG256">
        <f>SUM(Table2[[#This Row],[Housing]:[Household goods and services]],Table2[[#This Row],[Transport and communication]],Table2[[#This Row],[Education]])</f>
        <v>734.90000000000009</v>
      </c>
      <c r="AH256">
        <f>SUM(Table2[[#This Row],[Clothing]:[Clothing and footwear]])</f>
        <v>442</v>
      </c>
      <c r="AI256">
        <f>SUM(Table2[[#This Row],[Pan, tobacco and intoxicants]],Table2[[#This Row],[Recreation and amusement]],Table2[[#This Row],[Personal care and effects]])</f>
        <v>456.69999999999993</v>
      </c>
    </row>
    <row r="257" spans="1:35" x14ac:dyDescent="0.25">
      <c r="A257" t="s">
        <v>30</v>
      </c>
      <c r="B257">
        <v>2020</v>
      </c>
      <c r="C257" t="s">
        <v>38</v>
      </c>
      <c r="D257" s="2">
        <v>43891</v>
      </c>
      <c r="E257">
        <v>144.4</v>
      </c>
      <c r="F257">
        <v>166.8</v>
      </c>
      <c r="G257">
        <v>147.6</v>
      </c>
      <c r="H257">
        <v>151.69999999999999</v>
      </c>
      <c r="I257">
        <v>133.30000000000001</v>
      </c>
      <c r="J257">
        <v>141.80000000000001</v>
      </c>
      <c r="K257">
        <v>152.30000000000001</v>
      </c>
      <c r="L257">
        <v>141.80000000000001</v>
      </c>
      <c r="M257">
        <v>112.6</v>
      </c>
      <c r="N257">
        <v>154</v>
      </c>
      <c r="O257">
        <v>140.1</v>
      </c>
      <c r="P257">
        <v>160</v>
      </c>
      <c r="Q257">
        <v>148.19999999999999</v>
      </c>
      <c r="R257">
        <v>170.5</v>
      </c>
      <c r="S257">
        <v>153.4</v>
      </c>
      <c r="T257">
        <v>147.6</v>
      </c>
      <c r="U257">
        <v>152.5</v>
      </c>
      <c r="V257">
        <v>154.5</v>
      </c>
      <c r="W257">
        <v>153.4</v>
      </c>
      <c r="X257">
        <v>151.5</v>
      </c>
      <c r="Y257">
        <v>156.69999999999999</v>
      </c>
      <c r="Z257">
        <v>135.80000000000001</v>
      </c>
      <c r="AA257">
        <v>151.19999999999999</v>
      </c>
      <c r="AB257">
        <v>161.19999999999999</v>
      </c>
      <c r="AC257">
        <v>145.1</v>
      </c>
      <c r="AD257">
        <v>148.6</v>
      </c>
      <c r="AE257">
        <v>149.80000000000001</v>
      </c>
      <c r="AF257">
        <f>SUM(Table2[[#This Row],[Cereals and products]:[Food and beverages]])</f>
        <v>1894.5999999999997</v>
      </c>
      <c r="AG257">
        <f>SUM(Table2[[#This Row],[Housing]:[Household goods and services]],Table2[[#This Row],[Transport and communication]],Table2[[#This Row],[Education]])</f>
        <v>756.40000000000009</v>
      </c>
      <c r="AH257">
        <f>SUM(Table2[[#This Row],[Clothing]:[Clothing and footwear]])</f>
        <v>453.5</v>
      </c>
      <c r="AI257">
        <f>SUM(Table2[[#This Row],[Pan, tobacco and intoxicants]],Table2[[#This Row],[Recreation and amusement]],Table2[[#This Row],[Personal care and effects]])</f>
        <v>466.79999999999995</v>
      </c>
    </row>
    <row r="258" spans="1:35" x14ac:dyDescent="0.25">
      <c r="A258" t="s">
        <v>33</v>
      </c>
      <c r="B258">
        <v>2020</v>
      </c>
      <c r="C258" t="s">
        <v>38</v>
      </c>
      <c r="D258" s="2">
        <v>43891</v>
      </c>
      <c r="E258">
        <v>146.5</v>
      </c>
      <c r="F258">
        <v>167.5</v>
      </c>
      <c r="G258">
        <v>148.9</v>
      </c>
      <c r="H258">
        <v>151.1</v>
      </c>
      <c r="I258">
        <v>127.5</v>
      </c>
      <c r="J258">
        <v>143.30000000000001</v>
      </c>
      <c r="K258">
        <v>167</v>
      </c>
      <c r="L258">
        <v>139.69999999999999</v>
      </c>
      <c r="M258">
        <v>114.4</v>
      </c>
      <c r="N258">
        <v>151.5</v>
      </c>
      <c r="O258">
        <v>131.9</v>
      </c>
      <c r="P258">
        <v>159.1</v>
      </c>
      <c r="Q258">
        <v>150.1</v>
      </c>
      <c r="R258">
        <v>173.3</v>
      </c>
      <c r="S258">
        <v>147.69999999999999</v>
      </c>
      <c r="T258">
        <v>133.80000000000001</v>
      </c>
      <c r="U258">
        <v>145.6</v>
      </c>
      <c r="V258">
        <v>154.5</v>
      </c>
      <c r="W258">
        <v>141.4</v>
      </c>
      <c r="X258">
        <v>140.80000000000001</v>
      </c>
      <c r="Y258">
        <v>145</v>
      </c>
      <c r="Z258">
        <v>124.6</v>
      </c>
      <c r="AA258">
        <v>137.9</v>
      </c>
      <c r="AB258">
        <v>152.5</v>
      </c>
      <c r="AC258">
        <v>145.30000000000001</v>
      </c>
      <c r="AD258">
        <v>138.69999999999999</v>
      </c>
      <c r="AE258">
        <v>147.30000000000001</v>
      </c>
      <c r="AF258">
        <f>SUM(Table2[[#This Row],[Cereals and products]:[Food and beverages]])</f>
        <v>1898.5</v>
      </c>
      <c r="AG258">
        <f>SUM(Table2[[#This Row],[Housing]:[Household goods and services]],Table2[[#This Row],[Transport and communication]],Table2[[#This Row],[Education]])</f>
        <v>713.8</v>
      </c>
      <c r="AH258">
        <f>SUM(Table2[[#This Row],[Clothing]:[Clothing and footwear]])</f>
        <v>427.1</v>
      </c>
      <c r="AI258">
        <f>SUM(Table2[[#This Row],[Pan, tobacco and intoxicants]],Table2[[#This Row],[Recreation and amusement]],Table2[[#This Row],[Personal care and effects]])</f>
        <v>456.50000000000006</v>
      </c>
    </row>
    <row r="259" spans="1:35" x14ac:dyDescent="0.25">
      <c r="A259" t="s">
        <v>35</v>
      </c>
      <c r="B259">
        <v>2020</v>
      </c>
      <c r="C259" t="s">
        <v>38</v>
      </c>
      <c r="D259" s="2">
        <v>43891</v>
      </c>
      <c r="E259">
        <v>145.1</v>
      </c>
      <c r="F259">
        <v>167</v>
      </c>
      <c r="G259">
        <v>148.1</v>
      </c>
      <c r="H259">
        <v>151.5</v>
      </c>
      <c r="I259">
        <v>131.19999999999999</v>
      </c>
      <c r="J259">
        <v>142.5</v>
      </c>
      <c r="K259">
        <v>157.30000000000001</v>
      </c>
      <c r="L259">
        <v>141.1</v>
      </c>
      <c r="M259">
        <v>113.2</v>
      </c>
      <c r="N259">
        <v>153.19999999999999</v>
      </c>
      <c r="O259">
        <v>136.69999999999999</v>
      </c>
      <c r="P259">
        <v>159.6</v>
      </c>
      <c r="Q259">
        <v>148.9</v>
      </c>
      <c r="R259">
        <v>171.2</v>
      </c>
      <c r="S259">
        <v>151.19999999999999</v>
      </c>
      <c r="T259">
        <v>141.9</v>
      </c>
      <c r="U259">
        <v>149.80000000000001</v>
      </c>
      <c r="V259">
        <v>154.5</v>
      </c>
      <c r="W259">
        <v>148.9</v>
      </c>
      <c r="X259">
        <v>146.4</v>
      </c>
      <c r="Y259">
        <v>152.30000000000001</v>
      </c>
      <c r="Z259">
        <v>129.9</v>
      </c>
      <c r="AA259">
        <v>143.69999999999999</v>
      </c>
      <c r="AB259">
        <v>156.1</v>
      </c>
      <c r="AC259">
        <v>145.19999999999999</v>
      </c>
      <c r="AD259">
        <v>143.80000000000001</v>
      </c>
      <c r="AE259">
        <v>148.6</v>
      </c>
      <c r="AF259">
        <f>SUM(Table2[[#This Row],[Cereals and products]:[Food and beverages]])</f>
        <v>1895.4</v>
      </c>
      <c r="AG259">
        <f>SUM(Table2[[#This Row],[Housing]:[Household goods and services]],Table2[[#This Row],[Transport and communication]],Table2[[#This Row],[Education]])</f>
        <v>735.8</v>
      </c>
      <c r="AH259">
        <f>SUM(Table2[[#This Row],[Clothing]:[Clothing and footwear]])</f>
        <v>442.90000000000003</v>
      </c>
      <c r="AI259">
        <f>SUM(Table2[[#This Row],[Pan, tobacco and intoxicants]],Table2[[#This Row],[Recreation and amusement]],Table2[[#This Row],[Personal care and effects]])</f>
        <v>460.09999999999997</v>
      </c>
    </row>
    <row r="260" spans="1:35" x14ac:dyDescent="0.25">
      <c r="A260" t="s">
        <v>30</v>
      </c>
      <c r="B260">
        <v>2020</v>
      </c>
      <c r="C260" t="s">
        <v>39</v>
      </c>
      <c r="D260" s="2">
        <v>43922</v>
      </c>
      <c r="E260">
        <v>147.19999999999999</v>
      </c>
      <c r="F260">
        <v>178.72500000000002</v>
      </c>
      <c r="G260">
        <v>146.9</v>
      </c>
      <c r="H260">
        <v>155.6</v>
      </c>
      <c r="I260">
        <v>137.1</v>
      </c>
      <c r="J260">
        <v>147.30000000000001</v>
      </c>
      <c r="K260">
        <v>162.69999999999999</v>
      </c>
      <c r="L260">
        <v>150.19999999999999</v>
      </c>
      <c r="M260">
        <v>119.8</v>
      </c>
      <c r="N260">
        <v>158.69999999999999</v>
      </c>
      <c r="O260">
        <v>139.19999999999999</v>
      </c>
      <c r="P260">
        <v>160.69999999999999</v>
      </c>
      <c r="Q260">
        <v>150.1</v>
      </c>
      <c r="R260">
        <v>176.17499999999998</v>
      </c>
      <c r="S260">
        <v>153.94999999999999</v>
      </c>
      <c r="T260">
        <v>148.77500000000001</v>
      </c>
      <c r="U260">
        <v>153.25</v>
      </c>
      <c r="V260">
        <v>155.6</v>
      </c>
      <c r="W260">
        <v>148.4</v>
      </c>
      <c r="X260">
        <v>151.67500000000001</v>
      </c>
      <c r="Y260">
        <v>154.30000000000001</v>
      </c>
      <c r="Z260">
        <v>138.65</v>
      </c>
      <c r="AA260">
        <v>152</v>
      </c>
      <c r="AB260">
        <v>161.67500000000001</v>
      </c>
      <c r="AC260">
        <v>147.72499999999999</v>
      </c>
      <c r="AD260">
        <v>150.1</v>
      </c>
      <c r="AE260">
        <v>151.4</v>
      </c>
      <c r="AF260">
        <f>SUM(Table2[[#This Row],[Cereals and products]:[Food and beverages]])</f>
        <v>1954.2250000000001</v>
      </c>
      <c r="AG260">
        <f>SUM(Table2[[#This Row],[Housing]:[Household goods and services]],Table2[[#This Row],[Transport and communication]],Table2[[#This Row],[Education]])</f>
        <v>756</v>
      </c>
      <c r="AH260">
        <f>SUM(Table2[[#This Row],[Clothing]:[Clothing and footwear]])</f>
        <v>455.97500000000002</v>
      </c>
      <c r="AI260">
        <f>SUM(Table2[[#This Row],[Pan, tobacco and intoxicants]],Table2[[#This Row],[Recreation and amusement]],Table2[[#This Row],[Personal care and effects]])</f>
        <v>475.9</v>
      </c>
    </row>
    <row r="261" spans="1:35" x14ac:dyDescent="0.25">
      <c r="A261" t="s">
        <v>33</v>
      </c>
      <c r="B261">
        <v>2020</v>
      </c>
      <c r="C261" t="s">
        <v>39</v>
      </c>
      <c r="D261" s="2">
        <v>43922</v>
      </c>
      <c r="E261">
        <v>151.80000000000001</v>
      </c>
      <c r="F261">
        <v>182.27500000000001</v>
      </c>
      <c r="G261">
        <v>151.9</v>
      </c>
      <c r="H261">
        <v>155.5</v>
      </c>
      <c r="I261">
        <v>131.6</v>
      </c>
      <c r="J261">
        <v>152.9</v>
      </c>
      <c r="K261">
        <v>180</v>
      </c>
      <c r="L261">
        <v>150.80000000000001</v>
      </c>
      <c r="M261">
        <v>121.2</v>
      </c>
      <c r="N261">
        <v>154</v>
      </c>
      <c r="O261">
        <v>133.5</v>
      </c>
      <c r="P261">
        <v>160.375</v>
      </c>
      <c r="Q261">
        <v>153.5</v>
      </c>
      <c r="R261">
        <v>179.67500000000001</v>
      </c>
      <c r="S261">
        <v>148.30000000000001</v>
      </c>
      <c r="T261">
        <v>135.125</v>
      </c>
      <c r="U261">
        <v>146.29999999999998</v>
      </c>
      <c r="V261">
        <v>155.6</v>
      </c>
      <c r="W261">
        <v>137.1</v>
      </c>
      <c r="X261">
        <v>140.5</v>
      </c>
      <c r="Y261">
        <v>144.80000000000001</v>
      </c>
      <c r="Z261">
        <v>127.10000000000001</v>
      </c>
      <c r="AA261">
        <v>141.15</v>
      </c>
      <c r="AB261">
        <v>152.42500000000001</v>
      </c>
      <c r="AC261">
        <v>148.30000000000001</v>
      </c>
      <c r="AD261">
        <v>140.27500000000001</v>
      </c>
      <c r="AE261">
        <v>149.15</v>
      </c>
      <c r="AF261">
        <f>SUM(Table2[[#This Row],[Cereals and products]:[Food and beverages]])</f>
        <v>1979.35</v>
      </c>
      <c r="AG261">
        <f>SUM(Table2[[#This Row],[Housing]:[Household goods and services]],Table2[[#This Row],[Transport and communication]],Table2[[#This Row],[Education]])</f>
        <v>712.72499999999991</v>
      </c>
      <c r="AH261">
        <f>SUM(Table2[[#This Row],[Clothing]:[Clothing and footwear]])</f>
        <v>429.72500000000002</v>
      </c>
      <c r="AI261">
        <f>SUM(Table2[[#This Row],[Pan, tobacco and intoxicants]],Table2[[#This Row],[Recreation and amusement]],Table2[[#This Row],[Personal care and effects]])</f>
        <v>469.12500000000006</v>
      </c>
    </row>
    <row r="262" spans="1:35" x14ac:dyDescent="0.25">
      <c r="A262" t="s">
        <v>35</v>
      </c>
      <c r="B262">
        <v>2020</v>
      </c>
      <c r="C262" t="s">
        <v>39</v>
      </c>
      <c r="D262" s="2">
        <v>43922</v>
      </c>
      <c r="E262">
        <v>148.69999999999999</v>
      </c>
      <c r="F262">
        <v>179.97500000000002</v>
      </c>
      <c r="G262">
        <v>148.80000000000001</v>
      </c>
      <c r="H262">
        <v>155.6</v>
      </c>
      <c r="I262">
        <v>135.1</v>
      </c>
      <c r="J262">
        <v>149.9</v>
      </c>
      <c r="K262">
        <v>168.6</v>
      </c>
      <c r="L262">
        <v>150.4</v>
      </c>
      <c r="M262">
        <v>120.3</v>
      </c>
      <c r="N262">
        <v>157.1</v>
      </c>
      <c r="O262">
        <v>136.80000000000001</v>
      </c>
      <c r="P262">
        <v>160.57499999999999</v>
      </c>
      <c r="Q262">
        <v>151.4</v>
      </c>
      <c r="R262">
        <v>177.07499999999999</v>
      </c>
      <c r="S262">
        <v>151.75</v>
      </c>
      <c r="T262">
        <v>143.1</v>
      </c>
      <c r="U262">
        <v>150.52500000000001</v>
      </c>
      <c r="V262">
        <v>155.6</v>
      </c>
      <c r="W262">
        <v>144.1</v>
      </c>
      <c r="X262">
        <v>146.4</v>
      </c>
      <c r="Y262">
        <v>150.69999999999999</v>
      </c>
      <c r="Z262">
        <v>132.55000000000001</v>
      </c>
      <c r="AA262">
        <v>145.875</v>
      </c>
      <c r="AB262">
        <v>156.27499999999998</v>
      </c>
      <c r="AC262">
        <v>147.95000000000002</v>
      </c>
      <c r="AD262">
        <v>145.35</v>
      </c>
      <c r="AE262">
        <v>150.32499999999999</v>
      </c>
      <c r="AF262">
        <f>SUM(Table2[[#This Row],[Cereals and products]:[Food and beverages]])</f>
        <v>1963.25</v>
      </c>
      <c r="AG262">
        <f>SUM(Table2[[#This Row],[Housing]:[Household goods and services]],Table2[[#This Row],[Transport and communication]],Table2[[#This Row],[Education]])</f>
        <v>734.92500000000007</v>
      </c>
      <c r="AH262">
        <f>SUM(Table2[[#This Row],[Clothing]:[Clothing and footwear]])</f>
        <v>445.375</v>
      </c>
      <c r="AI262">
        <f>SUM(Table2[[#This Row],[Pan, tobacco and intoxicants]],Table2[[#This Row],[Recreation and amusement]],Table2[[#This Row],[Personal care and effects]])</f>
        <v>470.9</v>
      </c>
    </row>
    <row r="263" spans="1:35" x14ac:dyDescent="0.25">
      <c r="A263" t="s">
        <v>30</v>
      </c>
      <c r="B263">
        <v>2020</v>
      </c>
      <c r="C263" t="s">
        <v>41</v>
      </c>
      <c r="D263" s="2">
        <v>43952</v>
      </c>
      <c r="E263">
        <v>147.69999999999999</v>
      </c>
      <c r="F263">
        <v>178.72500000000002</v>
      </c>
      <c r="G263">
        <v>148.15</v>
      </c>
      <c r="H263">
        <v>154.44999999999999</v>
      </c>
      <c r="I263">
        <v>137.64999999999998</v>
      </c>
      <c r="J263">
        <v>145.25</v>
      </c>
      <c r="K263">
        <v>155.80000000000001</v>
      </c>
      <c r="L263">
        <v>150.25</v>
      </c>
      <c r="M263">
        <v>116.5</v>
      </c>
      <c r="N263">
        <v>159.25</v>
      </c>
      <c r="O263">
        <v>140.64999999999998</v>
      </c>
      <c r="P263">
        <v>160.69999999999999</v>
      </c>
      <c r="Q263">
        <v>151.19999999999999</v>
      </c>
      <c r="R263">
        <v>176.17499999999998</v>
      </c>
      <c r="S263">
        <v>153.94999999999999</v>
      </c>
      <c r="T263">
        <v>148.77500000000001</v>
      </c>
      <c r="U263">
        <v>153.25</v>
      </c>
      <c r="V263">
        <v>155.6</v>
      </c>
      <c r="W263">
        <v>146.65</v>
      </c>
      <c r="X263">
        <v>151.67500000000001</v>
      </c>
      <c r="Y263">
        <v>156.25</v>
      </c>
      <c r="Z263">
        <v>138.65</v>
      </c>
      <c r="AA263">
        <v>152</v>
      </c>
      <c r="AB263">
        <v>161.67500000000001</v>
      </c>
      <c r="AC263">
        <v>147.72499999999999</v>
      </c>
      <c r="AD263">
        <v>150.1</v>
      </c>
      <c r="AE263">
        <v>151.4</v>
      </c>
      <c r="AF263">
        <f>SUM(Table2[[#This Row],[Cereals and products]:[Food and beverages]])</f>
        <v>1946.2750000000001</v>
      </c>
      <c r="AG263">
        <f>SUM(Table2[[#This Row],[Housing]:[Household goods and services]],Table2[[#This Row],[Transport and communication]],Table2[[#This Row],[Education]])</f>
        <v>754.25</v>
      </c>
      <c r="AH263">
        <f>SUM(Table2[[#This Row],[Clothing]:[Clothing and footwear]])</f>
        <v>455.97500000000002</v>
      </c>
      <c r="AI263">
        <f>SUM(Table2[[#This Row],[Pan, tobacco and intoxicants]],Table2[[#This Row],[Recreation and amusement]],Table2[[#This Row],[Personal care and effects]])</f>
        <v>475.9</v>
      </c>
    </row>
    <row r="264" spans="1:35" x14ac:dyDescent="0.25">
      <c r="A264" t="s">
        <v>33</v>
      </c>
      <c r="B264">
        <v>2020</v>
      </c>
      <c r="C264" t="s">
        <v>41</v>
      </c>
      <c r="D264" s="2">
        <v>43952</v>
      </c>
      <c r="E264">
        <v>152.25</v>
      </c>
      <c r="F264">
        <v>182.27500000000001</v>
      </c>
      <c r="G264">
        <v>153.25</v>
      </c>
      <c r="H264">
        <v>154.44999999999999</v>
      </c>
      <c r="I264">
        <v>132.25</v>
      </c>
      <c r="J264">
        <v>152.35000000000002</v>
      </c>
      <c r="K264">
        <v>175.6</v>
      </c>
      <c r="L264">
        <v>151.4</v>
      </c>
      <c r="M264">
        <v>118.75</v>
      </c>
      <c r="N264">
        <v>156.4</v>
      </c>
      <c r="O264">
        <v>134.55000000000001</v>
      </c>
      <c r="P264">
        <v>160.375</v>
      </c>
      <c r="Q264">
        <v>155.25</v>
      </c>
      <c r="R264">
        <v>179.67500000000001</v>
      </c>
      <c r="S264">
        <v>148.30000000000001</v>
      </c>
      <c r="T264">
        <v>135.125</v>
      </c>
      <c r="U264">
        <v>146.29999999999998</v>
      </c>
      <c r="V264">
        <v>155.6</v>
      </c>
      <c r="W264">
        <v>137.1</v>
      </c>
      <c r="X264">
        <v>140.5</v>
      </c>
      <c r="Y264">
        <v>146.44999999999999</v>
      </c>
      <c r="Z264">
        <v>127.10000000000001</v>
      </c>
      <c r="AA264">
        <v>141.15</v>
      </c>
      <c r="AB264">
        <v>152.42500000000001</v>
      </c>
      <c r="AC264">
        <v>148.30000000000001</v>
      </c>
      <c r="AD264">
        <v>140.27500000000001</v>
      </c>
      <c r="AE264">
        <v>149.15</v>
      </c>
      <c r="AF264">
        <f>SUM(Table2[[#This Row],[Cereals and products]:[Food and beverages]])</f>
        <v>1979.15</v>
      </c>
      <c r="AG264">
        <f>SUM(Table2[[#This Row],[Housing]:[Household goods and services]],Table2[[#This Row],[Transport and communication]],Table2[[#This Row],[Education]])</f>
        <v>712.72499999999991</v>
      </c>
      <c r="AH264">
        <f>SUM(Table2[[#This Row],[Clothing]:[Clothing and footwear]])</f>
        <v>429.72500000000002</v>
      </c>
      <c r="AI264">
        <f>SUM(Table2[[#This Row],[Pan, tobacco and intoxicants]],Table2[[#This Row],[Recreation and amusement]],Table2[[#This Row],[Personal care and effects]])</f>
        <v>469.12500000000006</v>
      </c>
    </row>
    <row r="265" spans="1:35" x14ac:dyDescent="0.25">
      <c r="A265" t="s">
        <v>35</v>
      </c>
      <c r="B265">
        <v>2020</v>
      </c>
      <c r="C265" t="s">
        <v>41</v>
      </c>
      <c r="D265" s="2">
        <v>43952</v>
      </c>
      <c r="E265">
        <v>149.14999999999998</v>
      </c>
      <c r="F265">
        <v>179.97500000000002</v>
      </c>
      <c r="G265">
        <v>150.10000000000002</v>
      </c>
      <c r="H265">
        <v>154.44999999999999</v>
      </c>
      <c r="I265">
        <v>135.69999999999999</v>
      </c>
      <c r="J265">
        <v>148.55000000000001</v>
      </c>
      <c r="K265">
        <v>162.55000000000001</v>
      </c>
      <c r="L265">
        <v>150.65</v>
      </c>
      <c r="M265">
        <v>117.25</v>
      </c>
      <c r="N265">
        <v>158.30000000000001</v>
      </c>
      <c r="O265">
        <v>138.10000000000002</v>
      </c>
      <c r="P265">
        <v>160.57499999999999</v>
      </c>
      <c r="Q265">
        <v>152.69999999999999</v>
      </c>
      <c r="R265">
        <v>177.07499999999999</v>
      </c>
      <c r="S265">
        <v>151.75</v>
      </c>
      <c r="T265">
        <v>143.1</v>
      </c>
      <c r="U265">
        <v>150.52500000000001</v>
      </c>
      <c r="V265">
        <v>155.6</v>
      </c>
      <c r="W265">
        <v>143</v>
      </c>
      <c r="X265">
        <v>146.4</v>
      </c>
      <c r="Y265">
        <v>152.55000000000001</v>
      </c>
      <c r="Z265">
        <v>132.55000000000001</v>
      </c>
      <c r="AA265">
        <v>145.875</v>
      </c>
      <c r="AB265">
        <v>156.27499999999998</v>
      </c>
      <c r="AC265">
        <v>147.95000000000002</v>
      </c>
      <c r="AD265">
        <v>145.35</v>
      </c>
      <c r="AE265">
        <v>150.32499999999999</v>
      </c>
      <c r="AF265">
        <f>SUM(Table2[[#This Row],[Cereals and products]:[Food and beverages]])</f>
        <v>1958.0500000000002</v>
      </c>
      <c r="AG265">
        <f>SUM(Table2[[#This Row],[Housing]:[Household goods and services]],Table2[[#This Row],[Transport and communication]],Table2[[#This Row],[Education]])</f>
        <v>733.82499999999993</v>
      </c>
      <c r="AH265">
        <f>SUM(Table2[[#This Row],[Clothing]:[Clothing and footwear]])</f>
        <v>445.375</v>
      </c>
      <c r="AI265">
        <f>SUM(Table2[[#This Row],[Pan, tobacco and intoxicants]],Table2[[#This Row],[Recreation and amusement]],Table2[[#This Row],[Personal care and effects]])</f>
        <v>470.9</v>
      </c>
    </row>
    <row r="266" spans="1:35" x14ac:dyDescent="0.25">
      <c r="A266" t="s">
        <v>30</v>
      </c>
      <c r="B266">
        <v>2020</v>
      </c>
      <c r="C266" t="s">
        <v>42</v>
      </c>
      <c r="D266" s="2">
        <v>43983</v>
      </c>
      <c r="E266">
        <v>148.19999999999999</v>
      </c>
      <c r="F266">
        <v>190.3</v>
      </c>
      <c r="G266">
        <v>149.4</v>
      </c>
      <c r="H266">
        <v>153.30000000000001</v>
      </c>
      <c r="I266">
        <v>138.19999999999999</v>
      </c>
      <c r="J266">
        <v>143.19999999999999</v>
      </c>
      <c r="K266">
        <v>148.9</v>
      </c>
      <c r="L266">
        <v>150.30000000000001</v>
      </c>
      <c r="M266">
        <v>113.2</v>
      </c>
      <c r="N266">
        <v>159.80000000000001</v>
      </c>
      <c r="O266">
        <v>142.1</v>
      </c>
      <c r="P266">
        <v>161.80000000000001</v>
      </c>
      <c r="Q266">
        <v>152.30000000000001</v>
      </c>
      <c r="R266">
        <v>182.4</v>
      </c>
      <c r="S266">
        <v>154.69999999999999</v>
      </c>
      <c r="T266">
        <v>150</v>
      </c>
      <c r="U266">
        <v>154.1</v>
      </c>
      <c r="V266">
        <v>154.69999999999999</v>
      </c>
      <c r="W266">
        <v>144.9</v>
      </c>
      <c r="X266">
        <v>151.69999999999999</v>
      </c>
      <c r="Y266">
        <v>158.19999999999999</v>
      </c>
      <c r="Z266">
        <v>141.4</v>
      </c>
      <c r="AA266">
        <v>153.19999999999999</v>
      </c>
      <c r="AB266">
        <v>161.80000000000001</v>
      </c>
      <c r="AC266">
        <v>151.19999999999999</v>
      </c>
      <c r="AD266">
        <v>151.69999999999999</v>
      </c>
      <c r="AE266">
        <v>152.69999999999999</v>
      </c>
      <c r="AF266">
        <f>SUM(Table2[[#This Row],[Cereals and products]:[Food and beverages]])</f>
        <v>1951</v>
      </c>
      <c r="AG266">
        <f>SUM(Table2[[#This Row],[Housing]:[Household goods and services]],Table2[[#This Row],[Transport and communication]],Table2[[#This Row],[Education]])</f>
        <v>754.5</v>
      </c>
      <c r="AH266">
        <f>SUM(Table2[[#This Row],[Clothing]:[Clothing and footwear]])</f>
        <v>458.79999999999995</v>
      </c>
      <c r="AI266">
        <f>SUM(Table2[[#This Row],[Pan, tobacco and intoxicants]],Table2[[#This Row],[Recreation and amusement]],Table2[[#This Row],[Personal care and effects]])</f>
        <v>486.8</v>
      </c>
    </row>
    <row r="267" spans="1:35" x14ac:dyDescent="0.25">
      <c r="A267" t="s">
        <v>33</v>
      </c>
      <c r="B267">
        <v>2020</v>
      </c>
      <c r="C267" t="s">
        <v>42</v>
      </c>
      <c r="D267" s="2">
        <v>43983</v>
      </c>
      <c r="E267">
        <v>152.69999999999999</v>
      </c>
      <c r="F267">
        <v>197</v>
      </c>
      <c r="G267">
        <v>154.6</v>
      </c>
      <c r="H267">
        <v>153.4</v>
      </c>
      <c r="I267">
        <v>132.9</v>
      </c>
      <c r="J267">
        <v>151.80000000000001</v>
      </c>
      <c r="K267">
        <v>171.2</v>
      </c>
      <c r="L267">
        <v>152</v>
      </c>
      <c r="M267">
        <v>116.3</v>
      </c>
      <c r="N267">
        <v>158.80000000000001</v>
      </c>
      <c r="O267">
        <v>135.6</v>
      </c>
      <c r="P267">
        <v>161.69999999999999</v>
      </c>
      <c r="Q267">
        <v>157</v>
      </c>
      <c r="R267">
        <v>186.7</v>
      </c>
      <c r="S267">
        <v>149.1</v>
      </c>
      <c r="T267">
        <v>136.6</v>
      </c>
      <c r="U267">
        <v>147.19999999999999</v>
      </c>
      <c r="V267">
        <v>154.69999999999999</v>
      </c>
      <c r="W267">
        <v>137.1</v>
      </c>
      <c r="X267">
        <v>140.4</v>
      </c>
      <c r="Y267">
        <v>148.1</v>
      </c>
      <c r="Z267">
        <v>129.30000000000001</v>
      </c>
      <c r="AA267">
        <v>144.5</v>
      </c>
      <c r="AB267">
        <v>152.5</v>
      </c>
      <c r="AC267">
        <v>152.19999999999999</v>
      </c>
      <c r="AD267">
        <v>142</v>
      </c>
      <c r="AE267">
        <v>150.80000000000001</v>
      </c>
      <c r="AF267">
        <f>SUM(Table2[[#This Row],[Cereals and products]:[Food and beverages]])</f>
        <v>1994.9999999999998</v>
      </c>
      <c r="AG267">
        <f>SUM(Table2[[#This Row],[Housing]:[Household goods and services]],Table2[[#This Row],[Transport and communication]],Table2[[#This Row],[Education]])</f>
        <v>714</v>
      </c>
      <c r="AH267">
        <f>SUM(Table2[[#This Row],[Clothing]:[Clothing and footwear]])</f>
        <v>432.9</v>
      </c>
      <c r="AI267">
        <f>SUM(Table2[[#This Row],[Pan, tobacco and intoxicants]],Table2[[#This Row],[Recreation and amusement]],Table2[[#This Row],[Personal care and effects]])</f>
        <v>483.4</v>
      </c>
    </row>
    <row r="268" spans="1:35" x14ac:dyDescent="0.25">
      <c r="A268" t="s">
        <v>35</v>
      </c>
      <c r="B268">
        <v>2020</v>
      </c>
      <c r="C268" t="s">
        <v>42</v>
      </c>
      <c r="D268" s="2">
        <v>43983</v>
      </c>
      <c r="E268">
        <v>149.6</v>
      </c>
      <c r="F268">
        <v>192.7</v>
      </c>
      <c r="G268">
        <v>151.4</v>
      </c>
      <c r="H268">
        <v>153.30000000000001</v>
      </c>
      <c r="I268">
        <v>136.30000000000001</v>
      </c>
      <c r="J268">
        <v>147.19999999999999</v>
      </c>
      <c r="K268">
        <v>156.5</v>
      </c>
      <c r="L268">
        <v>150.9</v>
      </c>
      <c r="M268">
        <v>114.2</v>
      </c>
      <c r="N268">
        <v>159.5</v>
      </c>
      <c r="O268">
        <v>139.4</v>
      </c>
      <c r="P268">
        <v>161.80000000000001</v>
      </c>
      <c r="Q268">
        <v>154</v>
      </c>
      <c r="R268">
        <v>183.5</v>
      </c>
      <c r="S268">
        <v>152.5</v>
      </c>
      <c r="T268">
        <v>144.4</v>
      </c>
      <c r="U268">
        <v>151.4</v>
      </c>
      <c r="V268">
        <v>154.69999999999999</v>
      </c>
      <c r="W268">
        <v>141.9</v>
      </c>
      <c r="X268">
        <v>146.4</v>
      </c>
      <c r="Y268">
        <v>154.4</v>
      </c>
      <c r="Z268">
        <v>135</v>
      </c>
      <c r="AA268">
        <v>148.30000000000001</v>
      </c>
      <c r="AB268">
        <v>156.4</v>
      </c>
      <c r="AC268">
        <v>151.6</v>
      </c>
      <c r="AD268">
        <v>147</v>
      </c>
      <c r="AE268">
        <v>151.80000000000001</v>
      </c>
      <c r="AF268">
        <f>SUM(Table2[[#This Row],[Cereals and products]:[Food and beverages]])</f>
        <v>1966.8000000000002</v>
      </c>
      <c r="AG268">
        <f>SUM(Table2[[#This Row],[Housing]:[Household goods and services]],Table2[[#This Row],[Transport and communication]],Table2[[#This Row],[Education]])</f>
        <v>734.4</v>
      </c>
      <c r="AH268">
        <f>SUM(Table2[[#This Row],[Clothing]:[Clothing and footwear]])</f>
        <v>448.29999999999995</v>
      </c>
      <c r="AI268">
        <f>SUM(Table2[[#This Row],[Pan, tobacco and intoxicants]],Table2[[#This Row],[Recreation and amusement]],Table2[[#This Row],[Personal care and effects]])</f>
        <v>483.4</v>
      </c>
    </row>
    <row r="269" spans="1:35" x14ac:dyDescent="0.25">
      <c r="A269" t="s">
        <v>30</v>
      </c>
      <c r="B269">
        <v>2020</v>
      </c>
      <c r="C269" t="s">
        <v>44</v>
      </c>
      <c r="D269" s="2">
        <v>44013</v>
      </c>
      <c r="E269">
        <v>148.19999999999999</v>
      </c>
      <c r="F269">
        <v>190.3</v>
      </c>
      <c r="G269">
        <v>149.4</v>
      </c>
      <c r="H269">
        <v>153.30000000000001</v>
      </c>
      <c r="I269">
        <v>138.19999999999999</v>
      </c>
      <c r="J269">
        <v>143.19999999999999</v>
      </c>
      <c r="K269">
        <v>148.9</v>
      </c>
      <c r="L269">
        <v>150.30000000000001</v>
      </c>
      <c r="M269">
        <v>113.2</v>
      </c>
      <c r="N269">
        <v>159.80000000000001</v>
      </c>
      <c r="O269">
        <v>142.1</v>
      </c>
      <c r="P269">
        <v>161.80000000000001</v>
      </c>
      <c r="Q269">
        <v>152.30000000000001</v>
      </c>
      <c r="R269">
        <v>182.4</v>
      </c>
      <c r="S269">
        <v>154.69999999999999</v>
      </c>
      <c r="T269">
        <v>150</v>
      </c>
      <c r="U269">
        <v>154.1</v>
      </c>
      <c r="V269">
        <v>154.69999999999999</v>
      </c>
      <c r="W269">
        <v>144.9</v>
      </c>
      <c r="X269">
        <v>151.69999999999999</v>
      </c>
      <c r="Y269">
        <v>158.19999999999999</v>
      </c>
      <c r="Z269">
        <v>141.4</v>
      </c>
      <c r="AA269">
        <v>153.19999999999999</v>
      </c>
      <c r="AB269">
        <v>161.80000000000001</v>
      </c>
      <c r="AC269">
        <v>151.19999999999999</v>
      </c>
      <c r="AD269">
        <v>151.69999999999999</v>
      </c>
      <c r="AE269">
        <v>152.69999999999999</v>
      </c>
      <c r="AF269">
        <f>SUM(Table2[[#This Row],[Cereals and products]:[Food and beverages]])</f>
        <v>1951</v>
      </c>
      <c r="AG269">
        <f>SUM(Table2[[#This Row],[Housing]:[Household goods and services]],Table2[[#This Row],[Transport and communication]],Table2[[#This Row],[Education]])</f>
        <v>754.5</v>
      </c>
      <c r="AH269">
        <f>SUM(Table2[[#This Row],[Clothing]:[Clothing and footwear]])</f>
        <v>458.79999999999995</v>
      </c>
      <c r="AI269">
        <f>SUM(Table2[[#This Row],[Pan, tobacco and intoxicants]],Table2[[#This Row],[Recreation and amusement]],Table2[[#This Row],[Personal care and effects]])</f>
        <v>486.8</v>
      </c>
    </row>
    <row r="270" spans="1:35" x14ac:dyDescent="0.25">
      <c r="A270" t="s">
        <v>33</v>
      </c>
      <c r="B270">
        <v>2020</v>
      </c>
      <c r="C270" t="s">
        <v>44</v>
      </c>
      <c r="D270" s="2">
        <v>44013</v>
      </c>
      <c r="E270">
        <v>152.69999999999999</v>
      </c>
      <c r="F270">
        <v>197</v>
      </c>
      <c r="G270">
        <v>154.6</v>
      </c>
      <c r="H270">
        <v>153.4</v>
      </c>
      <c r="I270">
        <v>132.9</v>
      </c>
      <c r="J270">
        <v>151.80000000000001</v>
      </c>
      <c r="K270">
        <v>171.2</v>
      </c>
      <c r="L270">
        <v>152</v>
      </c>
      <c r="M270">
        <v>116.3</v>
      </c>
      <c r="N270">
        <v>158.80000000000001</v>
      </c>
      <c r="O270">
        <v>135.6</v>
      </c>
      <c r="P270">
        <v>161.69999999999999</v>
      </c>
      <c r="Q270">
        <v>157</v>
      </c>
      <c r="R270">
        <v>186.7</v>
      </c>
      <c r="S270">
        <v>149.1</v>
      </c>
      <c r="T270">
        <v>136.6</v>
      </c>
      <c r="U270">
        <v>147.19999999999999</v>
      </c>
      <c r="V270">
        <v>154.69999999999999</v>
      </c>
      <c r="W270">
        <v>137.1</v>
      </c>
      <c r="X270">
        <v>140.4</v>
      </c>
      <c r="Y270">
        <v>148.1</v>
      </c>
      <c r="Z270">
        <v>129.30000000000001</v>
      </c>
      <c r="AA270">
        <v>144.5</v>
      </c>
      <c r="AB270">
        <v>152.5</v>
      </c>
      <c r="AC270">
        <v>152.19999999999999</v>
      </c>
      <c r="AD270">
        <v>142</v>
      </c>
      <c r="AE270">
        <v>150.80000000000001</v>
      </c>
      <c r="AF270">
        <f>SUM(Table2[[#This Row],[Cereals and products]:[Food and beverages]])</f>
        <v>1994.9999999999998</v>
      </c>
      <c r="AG270">
        <f>SUM(Table2[[#This Row],[Housing]:[Household goods and services]],Table2[[#This Row],[Transport and communication]],Table2[[#This Row],[Education]])</f>
        <v>714</v>
      </c>
      <c r="AH270">
        <f>SUM(Table2[[#This Row],[Clothing]:[Clothing and footwear]])</f>
        <v>432.9</v>
      </c>
      <c r="AI270">
        <f>SUM(Table2[[#This Row],[Pan, tobacco and intoxicants]],Table2[[#This Row],[Recreation and amusement]],Table2[[#This Row],[Personal care and effects]])</f>
        <v>483.4</v>
      </c>
    </row>
    <row r="271" spans="1:35" x14ac:dyDescent="0.25">
      <c r="A271" t="s">
        <v>35</v>
      </c>
      <c r="B271">
        <v>2020</v>
      </c>
      <c r="C271" t="s">
        <v>44</v>
      </c>
      <c r="D271" s="2">
        <v>44013</v>
      </c>
      <c r="E271">
        <v>149.6</v>
      </c>
      <c r="F271">
        <v>192.7</v>
      </c>
      <c r="G271">
        <v>151.4</v>
      </c>
      <c r="H271">
        <v>153.30000000000001</v>
      </c>
      <c r="I271">
        <v>136.30000000000001</v>
      </c>
      <c r="J271">
        <v>147.19999999999999</v>
      </c>
      <c r="K271">
        <v>156.5</v>
      </c>
      <c r="L271">
        <v>150.9</v>
      </c>
      <c r="M271">
        <v>114.2</v>
      </c>
      <c r="N271">
        <v>159.5</v>
      </c>
      <c r="O271">
        <v>139.4</v>
      </c>
      <c r="P271">
        <v>161.80000000000001</v>
      </c>
      <c r="Q271">
        <v>154</v>
      </c>
      <c r="R271">
        <v>183.5</v>
      </c>
      <c r="S271">
        <v>152.5</v>
      </c>
      <c r="T271">
        <v>144.4</v>
      </c>
      <c r="U271">
        <v>151.4</v>
      </c>
      <c r="V271">
        <v>154.69999999999999</v>
      </c>
      <c r="W271">
        <v>141.9</v>
      </c>
      <c r="X271">
        <v>146.4</v>
      </c>
      <c r="Y271">
        <v>154.4</v>
      </c>
      <c r="Z271">
        <v>135</v>
      </c>
      <c r="AA271">
        <v>148.30000000000001</v>
      </c>
      <c r="AB271">
        <v>156.4</v>
      </c>
      <c r="AC271">
        <v>151.6</v>
      </c>
      <c r="AD271">
        <v>147</v>
      </c>
      <c r="AE271">
        <v>151.80000000000001</v>
      </c>
      <c r="AF271">
        <f>SUM(Table2[[#This Row],[Cereals and products]:[Food and beverages]])</f>
        <v>1966.8000000000002</v>
      </c>
      <c r="AG271">
        <f>SUM(Table2[[#This Row],[Housing]:[Household goods and services]],Table2[[#This Row],[Transport and communication]],Table2[[#This Row],[Education]])</f>
        <v>734.4</v>
      </c>
      <c r="AH271">
        <f>SUM(Table2[[#This Row],[Clothing]:[Clothing and footwear]])</f>
        <v>448.29999999999995</v>
      </c>
      <c r="AI271">
        <f>SUM(Table2[[#This Row],[Pan, tobacco and intoxicants]],Table2[[#This Row],[Recreation and amusement]],Table2[[#This Row],[Personal care and effects]])</f>
        <v>483.4</v>
      </c>
    </row>
    <row r="272" spans="1:35" x14ac:dyDescent="0.25">
      <c r="A272" t="s">
        <v>30</v>
      </c>
      <c r="B272">
        <v>2020</v>
      </c>
      <c r="C272" t="s">
        <v>46</v>
      </c>
      <c r="D272" s="2">
        <v>44044</v>
      </c>
      <c r="E272">
        <v>147.6</v>
      </c>
      <c r="F272">
        <v>187.2</v>
      </c>
      <c r="G272">
        <v>148.4</v>
      </c>
      <c r="H272">
        <v>153.30000000000001</v>
      </c>
      <c r="I272">
        <v>139.80000000000001</v>
      </c>
      <c r="J272">
        <v>146.9</v>
      </c>
      <c r="K272">
        <v>171</v>
      </c>
      <c r="L272">
        <v>149.9</v>
      </c>
      <c r="M272">
        <v>114.2</v>
      </c>
      <c r="N272">
        <v>160</v>
      </c>
      <c r="O272">
        <v>143.5</v>
      </c>
      <c r="P272">
        <v>161.5</v>
      </c>
      <c r="Q272">
        <v>155.30000000000001</v>
      </c>
      <c r="R272">
        <v>180.9</v>
      </c>
      <c r="S272">
        <v>155.1</v>
      </c>
      <c r="T272">
        <v>149.30000000000001</v>
      </c>
      <c r="U272">
        <v>154.30000000000001</v>
      </c>
      <c r="V272">
        <v>155.5</v>
      </c>
      <c r="W272">
        <v>145.80000000000001</v>
      </c>
      <c r="X272">
        <v>151.9</v>
      </c>
      <c r="Y272">
        <v>158.80000000000001</v>
      </c>
      <c r="Z272">
        <v>143.6</v>
      </c>
      <c r="AA272">
        <v>152.19999999999999</v>
      </c>
      <c r="AB272">
        <v>162.69999999999999</v>
      </c>
      <c r="AC272">
        <v>153.6</v>
      </c>
      <c r="AD272">
        <v>153</v>
      </c>
      <c r="AE272">
        <v>154.69999999999999</v>
      </c>
      <c r="AF272">
        <f>SUM(Table2[[#This Row],[Cereals and products]:[Food and beverages]])</f>
        <v>1978.6</v>
      </c>
      <c r="AG272">
        <f>SUM(Table2[[#This Row],[Housing]:[Household goods and services]],Table2[[#This Row],[Transport and communication]],Table2[[#This Row],[Education]])</f>
        <v>759.5</v>
      </c>
      <c r="AH272">
        <f>SUM(Table2[[#This Row],[Clothing]:[Clothing and footwear]])</f>
        <v>458.7</v>
      </c>
      <c r="AI272">
        <f>SUM(Table2[[#This Row],[Pan, tobacco and intoxicants]],Table2[[#This Row],[Recreation and amusement]],Table2[[#This Row],[Personal care and effects]])</f>
        <v>486.70000000000005</v>
      </c>
    </row>
    <row r="273" spans="1:35" x14ac:dyDescent="0.25">
      <c r="A273" t="s">
        <v>33</v>
      </c>
      <c r="B273">
        <v>2020</v>
      </c>
      <c r="C273" t="s">
        <v>46</v>
      </c>
      <c r="D273" s="2">
        <v>44044</v>
      </c>
      <c r="E273">
        <v>151.6</v>
      </c>
      <c r="F273">
        <v>197.8</v>
      </c>
      <c r="G273">
        <v>154.5</v>
      </c>
      <c r="H273">
        <v>153.4</v>
      </c>
      <c r="I273">
        <v>133.4</v>
      </c>
      <c r="J273">
        <v>154.5</v>
      </c>
      <c r="K273">
        <v>191.9</v>
      </c>
      <c r="L273">
        <v>151.30000000000001</v>
      </c>
      <c r="M273">
        <v>116.8</v>
      </c>
      <c r="N273">
        <v>160</v>
      </c>
      <c r="O273">
        <v>136.5</v>
      </c>
      <c r="P273">
        <v>163.30000000000001</v>
      </c>
      <c r="Q273">
        <v>159.9</v>
      </c>
      <c r="R273">
        <v>187.2</v>
      </c>
      <c r="S273">
        <v>150</v>
      </c>
      <c r="T273">
        <v>135.19999999999999</v>
      </c>
      <c r="U273">
        <v>147.80000000000001</v>
      </c>
      <c r="V273">
        <v>155.5</v>
      </c>
      <c r="W273">
        <v>138.30000000000001</v>
      </c>
      <c r="X273">
        <v>144.5</v>
      </c>
      <c r="Y273">
        <v>148.69999999999999</v>
      </c>
      <c r="Z273">
        <v>133.9</v>
      </c>
      <c r="AA273">
        <v>141.19999999999999</v>
      </c>
      <c r="AB273">
        <v>155.5</v>
      </c>
      <c r="AC273">
        <v>155.19999999999999</v>
      </c>
      <c r="AD273">
        <v>144.80000000000001</v>
      </c>
      <c r="AE273">
        <v>152.9</v>
      </c>
      <c r="AF273">
        <f>SUM(Table2[[#This Row],[Cereals and products]:[Food and beverages]])</f>
        <v>2024.8999999999999</v>
      </c>
      <c r="AG273">
        <f>SUM(Table2[[#This Row],[Housing]:[Household goods and services]],Table2[[#This Row],[Transport and communication]],Table2[[#This Row],[Education]])</f>
        <v>727.7</v>
      </c>
      <c r="AH273">
        <f>SUM(Table2[[#This Row],[Clothing]:[Clothing and footwear]])</f>
        <v>433</v>
      </c>
      <c r="AI273">
        <f>SUM(Table2[[#This Row],[Pan, tobacco and intoxicants]],Table2[[#This Row],[Recreation and amusement]],Table2[[#This Row],[Personal care and effects]])</f>
        <v>483.59999999999997</v>
      </c>
    </row>
    <row r="274" spans="1:35" x14ac:dyDescent="0.25">
      <c r="A274" t="s">
        <v>35</v>
      </c>
      <c r="B274">
        <v>2020</v>
      </c>
      <c r="C274" t="s">
        <v>46</v>
      </c>
      <c r="D274" s="2">
        <v>44044</v>
      </c>
      <c r="E274">
        <v>148.9</v>
      </c>
      <c r="F274">
        <v>190.9</v>
      </c>
      <c r="G274">
        <v>150.80000000000001</v>
      </c>
      <c r="H274">
        <v>153.30000000000001</v>
      </c>
      <c r="I274">
        <v>137.4</v>
      </c>
      <c r="J274">
        <v>150.4</v>
      </c>
      <c r="K274">
        <v>178.1</v>
      </c>
      <c r="L274">
        <v>150.4</v>
      </c>
      <c r="M274">
        <v>115.1</v>
      </c>
      <c r="N274">
        <v>160</v>
      </c>
      <c r="O274">
        <v>140.6</v>
      </c>
      <c r="P274">
        <v>162.30000000000001</v>
      </c>
      <c r="Q274">
        <v>157</v>
      </c>
      <c r="R274">
        <v>182.6</v>
      </c>
      <c r="S274">
        <v>153.1</v>
      </c>
      <c r="T274">
        <v>143.4</v>
      </c>
      <c r="U274">
        <v>151.69999999999999</v>
      </c>
      <c r="V274">
        <v>155.5</v>
      </c>
      <c r="W274">
        <v>143</v>
      </c>
      <c r="X274">
        <v>148.4</v>
      </c>
      <c r="Y274">
        <v>155</v>
      </c>
      <c r="Z274">
        <v>138.5</v>
      </c>
      <c r="AA274">
        <v>146</v>
      </c>
      <c r="AB274">
        <v>158.5</v>
      </c>
      <c r="AC274">
        <v>154.30000000000001</v>
      </c>
      <c r="AD274">
        <v>149</v>
      </c>
      <c r="AE274">
        <v>153.9</v>
      </c>
      <c r="AF274">
        <f>SUM(Table2[[#This Row],[Cereals and products]:[Food and beverages]])</f>
        <v>1995.1999999999998</v>
      </c>
      <c r="AG274">
        <f>SUM(Table2[[#This Row],[Housing]:[Household goods and services]],Table2[[#This Row],[Transport and communication]],Table2[[#This Row],[Education]])</f>
        <v>743.9</v>
      </c>
      <c r="AH274">
        <f>SUM(Table2[[#This Row],[Clothing]:[Clothing and footwear]])</f>
        <v>448.2</v>
      </c>
      <c r="AI274">
        <f>SUM(Table2[[#This Row],[Pan, tobacco and intoxicants]],Table2[[#This Row],[Recreation and amusement]],Table2[[#This Row],[Personal care and effects]])</f>
        <v>482.90000000000003</v>
      </c>
    </row>
    <row r="275" spans="1:35" x14ac:dyDescent="0.25">
      <c r="A275" t="s">
        <v>30</v>
      </c>
      <c r="B275">
        <v>2020</v>
      </c>
      <c r="C275" t="s">
        <v>48</v>
      </c>
      <c r="D275" s="2">
        <v>44075</v>
      </c>
      <c r="E275">
        <v>146.9</v>
      </c>
      <c r="F275">
        <v>183.9</v>
      </c>
      <c r="G275">
        <v>149.5</v>
      </c>
      <c r="H275">
        <v>153.4</v>
      </c>
      <c r="I275">
        <v>140.4</v>
      </c>
      <c r="J275">
        <v>147</v>
      </c>
      <c r="K275">
        <v>178.8</v>
      </c>
      <c r="L275">
        <v>149.30000000000001</v>
      </c>
      <c r="M275">
        <v>115.1</v>
      </c>
      <c r="N275">
        <v>160</v>
      </c>
      <c r="O275">
        <v>145.4</v>
      </c>
      <c r="P275">
        <v>161.6</v>
      </c>
      <c r="Q275">
        <v>156.1</v>
      </c>
      <c r="R275">
        <v>182.9</v>
      </c>
      <c r="S275">
        <v>155.4</v>
      </c>
      <c r="T275">
        <v>149.9</v>
      </c>
      <c r="U275">
        <v>154.6</v>
      </c>
      <c r="V275">
        <v>156.30000000000001</v>
      </c>
      <c r="W275">
        <v>146.4</v>
      </c>
      <c r="X275">
        <v>151.6</v>
      </c>
      <c r="Y275">
        <v>159.1</v>
      </c>
      <c r="Z275">
        <v>144.6</v>
      </c>
      <c r="AA275">
        <v>152.80000000000001</v>
      </c>
      <c r="AB275">
        <v>161.1</v>
      </c>
      <c r="AC275">
        <v>157.4</v>
      </c>
      <c r="AD275">
        <v>153.69999999999999</v>
      </c>
      <c r="AE275">
        <v>155.4</v>
      </c>
      <c r="AF275">
        <f>SUM(Table2[[#This Row],[Cereals and products]:[Food and beverages]])</f>
        <v>1987.3999999999999</v>
      </c>
      <c r="AG275">
        <f>SUM(Table2[[#This Row],[Housing]:[Household goods and services]],Table2[[#This Row],[Transport and communication]],Table2[[#This Row],[Education]])</f>
        <v>760.00000000000011</v>
      </c>
      <c r="AH275">
        <f>SUM(Table2[[#This Row],[Clothing]:[Clothing and footwear]])</f>
        <v>459.9</v>
      </c>
      <c r="AI275">
        <f>SUM(Table2[[#This Row],[Pan, tobacco and intoxicants]],Table2[[#This Row],[Recreation and amusement]],Table2[[#This Row],[Personal care and effects]])</f>
        <v>493.1</v>
      </c>
    </row>
    <row r="276" spans="1:35" x14ac:dyDescent="0.25">
      <c r="A276" t="s">
        <v>33</v>
      </c>
      <c r="B276">
        <v>2020</v>
      </c>
      <c r="C276" t="s">
        <v>48</v>
      </c>
      <c r="D276" s="2">
        <v>44075</v>
      </c>
      <c r="E276">
        <v>151.5</v>
      </c>
      <c r="F276">
        <v>193.1</v>
      </c>
      <c r="G276">
        <v>157.30000000000001</v>
      </c>
      <c r="H276">
        <v>153.9</v>
      </c>
      <c r="I276">
        <v>134.4</v>
      </c>
      <c r="J276">
        <v>155.4</v>
      </c>
      <c r="K276">
        <v>202</v>
      </c>
      <c r="L276">
        <v>150.80000000000001</v>
      </c>
      <c r="M276">
        <v>118.9</v>
      </c>
      <c r="N276">
        <v>160.9</v>
      </c>
      <c r="O276">
        <v>137.69999999999999</v>
      </c>
      <c r="P276">
        <v>164.4</v>
      </c>
      <c r="Q276">
        <v>161.30000000000001</v>
      </c>
      <c r="R276">
        <v>188.7</v>
      </c>
      <c r="S276">
        <v>150.19999999999999</v>
      </c>
      <c r="T276">
        <v>136.30000000000001</v>
      </c>
      <c r="U276">
        <v>148.1</v>
      </c>
      <c r="V276">
        <v>156.30000000000001</v>
      </c>
      <c r="W276">
        <v>137.19999999999999</v>
      </c>
      <c r="X276">
        <v>145.4</v>
      </c>
      <c r="Y276">
        <v>150</v>
      </c>
      <c r="Z276">
        <v>135.1</v>
      </c>
      <c r="AA276">
        <v>141.80000000000001</v>
      </c>
      <c r="AB276">
        <v>154.9</v>
      </c>
      <c r="AC276">
        <v>159.80000000000001</v>
      </c>
      <c r="AD276">
        <v>146</v>
      </c>
      <c r="AE276">
        <v>154</v>
      </c>
      <c r="AF276">
        <f>SUM(Table2[[#This Row],[Cereals and products]:[Food and beverages]])</f>
        <v>2041.6000000000001</v>
      </c>
      <c r="AG276">
        <f>SUM(Table2[[#This Row],[Housing]:[Household goods and services]],Table2[[#This Row],[Transport and communication]],Table2[[#This Row],[Education]])</f>
        <v>728.9</v>
      </c>
      <c r="AH276">
        <f>SUM(Table2[[#This Row],[Clothing]:[Clothing and footwear]])</f>
        <v>434.6</v>
      </c>
      <c r="AI276">
        <f>SUM(Table2[[#This Row],[Pan, tobacco and intoxicants]],Table2[[#This Row],[Recreation and amusement]],Table2[[#This Row],[Personal care and effects]])</f>
        <v>490.3</v>
      </c>
    </row>
    <row r="277" spans="1:35" x14ac:dyDescent="0.25">
      <c r="A277" t="s">
        <v>35</v>
      </c>
      <c r="B277">
        <v>2020</v>
      </c>
      <c r="C277" t="s">
        <v>48</v>
      </c>
      <c r="D277" s="2">
        <v>44075</v>
      </c>
      <c r="E277">
        <v>148.4</v>
      </c>
      <c r="F277">
        <v>187.1</v>
      </c>
      <c r="G277">
        <v>152.5</v>
      </c>
      <c r="H277">
        <v>153.6</v>
      </c>
      <c r="I277">
        <v>138.19999999999999</v>
      </c>
      <c r="J277">
        <v>150.9</v>
      </c>
      <c r="K277">
        <v>186.7</v>
      </c>
      <c r="L277">
        <v>149.80000000000001</v>
      </c>
      <c r="M277">
        <v>116.4</v>
      </c>
      <c r="N277">
        <v>160.30000000000001</v>
      </c>
      <c r="O277">
        <v>142.19999999999999</v>
      </c>
      <c r="P277">
        <v>162.9</v>
      </c>
      <c r="Q277">
        <v>158</v>
      </c>
      <c r="R277">
        <v>184.4</v>
      </c>
      <c r="S277">
        <v>153.4</v>
      </c>
      <c r="T277">
        <v>144.30000000000001</v>
      </c>
      <c r="U277">
        <v>152</v>
      </c>
      <c r="V277">
        <v>156.30000000000001</v>
      </c>
      <c r="W277">
        <v>142.9</v>
      </c>
      <c r="X277">
        <v>148.69999999999999</v>
      </c>
      <c r="Y277">
        <v>155.6</v>
      </c>
      <c r="Z277">
        <v>139.6</v>
      </c>
      <c r="AA277">
        <v>146.6</v>
      </c>
      <c r="AB277">
        <v>157.5</v>
      </c>
      <c r="AC277">
        <v>158.4</v>
      </c>
      <c r="AD277">
        <v>150</v>
      </c>
      <c r="AE277">
        <v>154.69999999999999</v>
      </c>
      <c r="AF277">
        <f>SUM(Table2[[#This Row],[Cereals and products]:[Food and beverages]])</f>
        <v>2007</v>
      </c>
      <c r="AG277">
        <f>SUM(Table2[[#This Row],[Housing]:[Household goods and services]],Table2[[#This Row],[Transport and communication]],Table2[[#This Row],[Education]])</f>
        <v>745</v>
      </c>
      <c r="AH277">
        <f>SUM(Table2[[#This Row],[Clothing]:[Clothing and footwear]])</f>
        <v>449.70000000000005</v>
      </c>
      <c r="AI277">
        <f>SUM(Table2[[#This Row],[Pan, tobacco and intoxicants]],Table2[[#This Row],[Recreation and amusement]],Table2[[#This Row],[Personal care and effects]])</f>
        <v>489.4</v>
      </c>
    </row>
    <row r="278" spans="1:35" x14ac:dyDescent="0.25">
      <c r="A278" t="s">
        <v>30</v>
      </c>
      <c r="B278">
        <v>2020</v>
      </c>
      <c r="C278" t="s">
        <v>50</v>
      </c>
      <c r="D278" s="2">
        <v>44105</v>
      </c>
      <c r="E278">
        <v>146</v>
      </c>
      <c r="F278">
        <v>186.3</v>
      </c>
      <c r="G278">
        <v>159.19999999999999</v>
      </c>
      <c r="H278">
        <v>153.6</v>
      </c>
      <c r="I278">
        <v>142.6</v>
      </c>
      <c r="J278">
        <v>147.19999999999999</v>
      </c>
      <c r="K278">
        <v>200.6</v>
      </c>
      <c r="L278">
        <v>150.30000000000001</v>
      </c>
      <c r="M278">
        <v>115.3</v>
      </c>
      <c r="N278">
        <v>160.9</v>
      </c>
      <c r="O278">
        <v>147.4</v>
      </c>
      <c r="P278">
        <v>161.9</v>
      </c>
      <c r="Q278">
        <v>159.6</v>
      </c>
      <c r="R278">
        <v>182.7</v>
      </c>
      <c r="S278">
        <v>155.69999999999999</v>
      </c>
      <c r="T278">
        <v>150.6</v>
      </c>
      <c r="U278">
        <v>155</v>
      </c>
      <c r="V278">
        <v>156.5</v>
      </c>
      <c r="W278">
        <v>146.80000000000001</v>
      </c>
      <c r="X278">
        <v>152</v>
      </c>
      <c r="Y278">
        <v>159.5</v>
      </c>
      <c r="Z278">
        <v>146.4</v>
      </c>
      <c r="AA278">
        <v>152.4</v>
      </c>
      <c r="AB278">
        <v>162.5</v>
      </c>
      <c r="AC278">
        <v>156.19999999999999</v>
      </c>
      <c r="AD278">
        <v>154.30000000000001</v>
      </c>
      <c r="AE278">
        <v>157.5</v>
      </c>
      <c r="AF278">
        <f>SUM(Table2[[#This Row],[Cereals and products]:[Food and beverages]])</f>
        <v>2030.9</v>
      </c>
      <c r="AG278">
        <f>SUM(Table2[[#This Row],[Housing]:[Household goods and services]],Table2[[#This Row],[Transport and communication]],Table2[[#This Row],[Education]])</f>
        <v>764.2</v>
      </c>
      <c r="AH278">
        <f>SUM(Table2[[#This Row],[Clothing]:[Clothing and footwear]])</f>
        <v>461.29999999999995</v>
      </c>
      <c r="AI278">
        <f>SUM(Table2[[#This Row],[Pan, tobacco and intoxicants]],Table2[[#This Row],[Recreation and amusement]],Table2[[#This Row],[Personal care and effects]])</f>
        <v>491.3</v>
      </c>
    </row>
    <row r="279" spans="1:35" x14ac:dyDescent="0.25">
      <c r="A279" t="s">
        <v>33</v>
      </c>
      <c r="B279">
        <v>2020</v>
      </c>
      <c r="C279" t="s">
        <v>50</v>
      </c>
      <c r="D279" s="2">
        <v>44105</v>
      </c>
      <c r="E279">
        <v>150.6</v>
      </c>
      <c r="F279">
        <v>193.7</v>
      </c>
      <c r="G279">
        <v>164.8</v>
      </c>
      <c r="H279">
        <v>153.69999999999999</v>
      </c>
      <c r="I279">
        <v>135.69999999999999</v>
      </c>
      <c r="J279">
        <v>155.69999999999999</v>
      </c>
      <c r="K279">
        <v>226</v>
      </c>
      <c r="L279">
        <v>152.19999999999999</v>
      </c>
      <c r="M279">
        <v>118.1</v>
      </c>
      <c r="N279">
        <v>161.30000000000001</v>
      </c>
      <c r="O279">
        <v>139.19999999999999</v>
      </c>
      <c r="P279">
        <v>164.8</v>
      </c>
      <c r="Q279">
        <v>164.4</v>
      </c>
      <c r="R279">
        <v>188.7</v>
      </c>
      <c r="S279">
        <v>150.5</v>
      </c>
      <c r="T279">
        <v>136.1</v>
      </c>
      <c r="U279">
        <v>148.30000000000001</v>
      </c>
      <c r="V279">
        <v>156.5</v>
      </c>
      <c r="W279">
        <v>137.1</v>
      </c>
      <c r="X279">
        <v>145.1</v>
      </c>
      <c r="Y279">
        <v>151</v>
      </c>
      <c r="Z279">
        <v>135.4</v>
      </c>
      <c r="AA279">
        <v>142</v>
      </c>
      <c r="AB279">
        <v>155.69999999999999</v>
      </c>
      <c r="AC279">
        <v>158.1</v>
      </c>
      <c r="AD279">
        <v>146.19999999999999</v>
      </c>
      <c r="AE279">
        <v>155.19999999999999</v>
      </c>
      <c r="AF279">
        <f>SUM(Table2[[#This Row],[Cereals and products]:[Food and beverages]])</f>
        <v>2080.1999999999998</v>
      </c>
      <c r="AG279">
        <f>SUM(Table2[[#This Row],[Housing]:[Household goods and services]],Table2[[#This Row],[Transport and communication]],Table2[[#This Row],[Education]])</f>
        <v>729.8</v>
      </c>
      <c r="AH279">
        <f>SUM(Table2[[#This Row],[Clothing]:[Clothing and footwear]])</f>
        <v>434.90000000000003</v>
      </c>
      <c r="AI279">
        <f>SUM(Table2[[#This Row],[Pan, tobacco and intoxicants]],Table2[[#This Row],[Recreation and amusement]],Table2[[#This Row],[Personal care and effects]])</f>
        <v>488.79999999999995</v>
      </c>
    </row>
    <row r="280" spans="1:35" x14ac:dyDescent="0.25">
      <c r="A280" t="s">
        <v>35</v>
      </c>
      <c r="B280">
        <v>2020</v>
      </c>
      <c r="C280" t="s">
        <v>50</v>
      </c>
      <c r="D280" s="2">
        <v>44105</v>
      </c>
      <c r="E280">
        <v>147.5</v>
      </c>
      <c r="F280">
        <v>188.9</v>
      </c>
      <c r="G280">
        <v>161.4</v>
      </c>
      <c r="H280">
        <v>153.6</v>
      </c>
      <c r="I280">
        <v>140.1</v>
      </c>
      <c r="J280">
        <v>151.19999999999999</v>
      </c>
      <c r="K280">
        <v>209.2</v>
      </c>
      <c r="L280">
        <v>150.9</v>
      </c>
      <c r="M280">
        <v>116.2</v>
      </c>
      <c r="N280">
        <v>161</v>
      </c>
      <c r="O280">
        <v>144</v>
      </c>
      <c r="P280">
        <v>163.19999999999999</v>
      </c>
      <c r="Q280">
        <v>161.4</v>
      </c>
      <c r="R280">
        <v>184.3</v>
      </c>
      <c r="S280">
        <v>153.69999999999999</v>
      </c>
      <c r="T280">
        <v>144.6</v>
      </c>
      <c r="U280">
        <v>152.30000000000001</v>
      </c>
      <c r="V280">
        <v>156.5</v>
      </c>
      <c r="W280">
        <v>143.1</v>
      </c>
      <c r="X280">
        <v>148.69999999999999</v>
      </c>
      <c r="Y280">
        <v>156.30000000000001</v>
      </c>
      <c r="Z280">
        <v>140.6</v>
      </c>
      <c r="AA280">
        <v>146.5</v>
      </c>
      <c r="AB280">
        <v>158.5</v>
      </c>
      <c r="AC280">
        <v>157</v>
      </c>
      <c r="AD280">
        <v>150.4</v>
      </c>
      <c r="AE280">
        <v>156.4</v>
      </c>
      <c r="AF280">
        <f>SUM(Table2[[#This Row],[Cereals and products]:[Food and beverages]])</f>
        <v>2048.6000000000004</v>
      </c>
      <c r="AG280">
        <f>SUM(Table2[[#This Row],[Housing]:[Household goods and services]],Table2[[#This Row],[Transport and communication]],Table2[[#This Row],[Education]])</f>
        <v>747.4</v>
      </c>
      <c r="AH280">
        <f>SUM(Table2[[#This Row],[Clothing]:[Clothing and footwear]])</f>
        <v>450.59999999999997</v>
      </c>
      <c r="AI280">
        <f>SUM(Table2[[#This Row],[Pan, tobacco and intoxicants]],Table2[[#This Row],[Recreation and amusement]],Table2[[#This Row],[Personal care and effects]])</f>
        <v>487.8</v>
      </c>
    </row>
    <row r="281" spans="1:35" x14ac:dyDescent="0.25">
      <c r="A281" t="s">
        <v>30</v>
      </c>
      <c r="B281">
        <v>2020</v>
      </c>
      <c r="C281" t="s">
        <v>53</v>
      </c>
      <c r="D281" s="2">
        <v>44136</v>
      </c>
      <c r="E281">
        <v>145.4</v>
      </c>
      <c r="F281">
        <v>188.6</v>
      </c>
      <c r="G281">
        <v>171.6</v>
      </c>
      <c r="H281">
        <v>153.80000000000001</v>
      </c>
      <c r="I281">
        <v>145.4</v>
      </c>
      <c r="J281">
        <v>146.5</v>
      </c>
      <c r="K281">
        <v>222.2</v>
      </c>
      <c r="L281">
        <v>155.9</v>
      </c>
      <c r="M281">
        <v>114.9</v>
      </c>
      <c r="N281">
        <v>162</v>
      </c>
      <c r="O281">
        <v>150</v>
      </c>
      <c r="P281">
        <v>162.69999999999999</v>
      </c>
      <c r="Q281">
        <v>163.4</v>
      </c>
      <c r="R281">
        <v>183.4</v>
      </c>
      <c r="S281">
        <v>156.30000000000001</v>
      </c>
      <c r="T281">
        <v>151</v>
      </c>
      <c r="U281">
        <v>155.5</v>
      </c>
      <c r="V281">
        <v>158</v>
      </c>
      <c r="W281">
        <v>147.5</v>
      </c>
      <c r="X281">
        <v>152.80000000000001</v>
      </c>
      <c r="Y281">
        <v>160.4</v>
      </c>
      <c r="Z281">
        <v>146.1</v>
      </c>
      <c r="AA281">
        <v>153.6</v>
      </c>
      <c r="AB281">
        <v>161.6</v>
      </c>
      <c r="AC281">
        <v>156.19999999999999</v>
      </c>
      <c r="AD281">
        <v>154.5</v>
      </c>
      <c r="AE281">
        <v>159.80000000000001</v>
      </c>
      <c r="AF281">
        <f>SUM(Table2[[#This Row],[Cereals and products]:[Food and beverages]])</f>
        <v>2082.4</v>
      </c>
      <c r="AG281">
        <f>SUM(Table2[[#This Row],[Housing]:[Household goods and services]],Table2[[#This Row],[Transport and communication]],Table2[[#This Row],[Education]])</f>
        <v>766</v>
      </c>
      <c r="AH281">
        <f>SUM(Table2[[#This Row],[Clothing]:[Clothing and footwear]])</f>
        <v>462.8</v>
      </c>
      <c r="AI281">
        <f>SUM(Table2[[#This Row],[Pan, tobacco and intoxicants]],Table2[[#This Row],[Recreation and amusement]],Table2[[#This Row],[Personal care and effects]])</f>
        <v>493.2</v>
      </c>
    </row>
    <row r="282" spans="1:35" x14ac:dyDescent="0.25">
      <c r="A282" t="s">
        <v>33</v>
      </c>
      <c r="B282">
        <v>2020</v>
      </c>
      <c r="C282" t="s">
        <v>53</v>
      </c>
      <c r="D282" s="2">
        <v>44136</v>
      </c>
      <c r="E282">
        <v>149.69999999999999</v>
      </c>
      <c r="F282">
        <v>195.5</v>
      </c>
      <c r="G282">
        <v>176.9</v>
      </c>
      <c r="H282">
        <v>153.9</v>
      </c>
      <c r="I282">
        <v>138</v>
      </c>
      <c r="J282">
        <v>150.5</v>
      </c>
      <c r="K282">
        <v>245.3</v>
      </c>
      <c r="L282">
        <v>158.69999999999999</v>
      </c>
      <c r="M282">
        <v>117.2</v>
      </c>
      <c r="N282">
        <v>161.4</v>
      </c>
      <c r="O282">
        <v>141.5</v>
      </c>
      <c r="P282">
        <v>165.1</v>
      </c>
      <c r="Q282">
        <v>167</v>
      </c>
      <c r="R282">
        <v>188.8</v>
      </c>
      <c r="S282">
        <v>151.1</v>
      </c>
      <c r="T282">
        <v>136.4</v>
      </c>
      <c r="U282">
        <v>148.80000000000001</v>
      </c>
      <c r="V282">
        <v>158</v>
      </c>
      <c r="W282">
        <v>137.30000000000001</v>
      </c>
      <c r="X282">
        <v>145.1</v>
      </c>
      <c r="Y282">
        <v>152</v>
      </c>
      <c r="Z282">
        <v>135.19999999999999</v>
      </c>
      <c r="AA282">
        <v>144.4</v>
      </c>
      <c r="AB282">
        <v>156.4</v>
      </c>
      <c r="AC282">
        <v>157.9</v>
      </c>
      <c r="AD282">
        <v>146.6</v>
      </c>
      <c r="AE282">
        <v>156.69999999999999</v>
      </c>
      <c r="AF282">
        <f>SUM(Table2[[#This Row],[Cereals and products]:[Food and beverages]])</f>
        <v>2120.6999999999998</v>
      </c>
      <c r="AG282">
        <f>SUM(Table2[[#This Row],[Housing]:[Household goods and services]],Table2[[#This Row],[Transport and communication]],Table2[[#This Row],[Education]])</f>
        <v>731.99999999999989</v>
      </c>
      <c r="AH282">
        <f>SUM(Table2[[#This Row],[Clothing]:[Clothing and footwear]])</f>
        <v>436.3</v>
      </c>
      <c r="AI282">
        <f>SUM(Table2[[#This Row],[Pan, tobacco and intoxicants]],Table2[[#This Row],[Recreation and amusement]],Table2[[#This Row],[Personal care and effects]])</f>
        <v>491.1</v>
      </c>
    </row>
    <row r="283" spans="1:35" x14ac:dyDescent="0.25">
      <c r="A283" t="s">
        <v>35</v>
      </c>
      <c r="B283">
        <v>2020</v>
      </c>
      <c r="C283" t="s">
        <v>53</v>
      </c>
      <c r="D283" s="2">
        <v>44136</v>
      </c>
      <c r="E283">
        <v>146.80000000000001</v>
      </c>
      <c r="F283">
        <v>191</v>
      </c>
      <c r="G283">
        <v>173.6</v>
      </c>
      <c r="H283">
        <v>153.80000000000001</v>
      </c>
      <c r="I283">
        <v>142.69999999999999</v>
      </c>
      <c r="J283">
        <v>148.4</v>
      </c>
      <c r="K283">
        <v>230</v>
      </c>
      <c r="L283">
        <v>156.80000000000001</v>
      </c>
      <c r="M283">
        <v>115.7</v>
      </c>
      <c r="N283">
        <v>161.80000000000001</v>
      </c>
      <c r="O283">
        <v>146.5</v>
      </c>
      <c r="P283">
        <v>163.80000000000001</v>
      </c>
      <c r="Q283">
        <v>164.7</v>
      </c>
      <c r="R283">
        <v>184.8</v>
      </c>
      <c r="S283">
        <v>154.30000000000001</v>
      </c>
      <c r="T283">
        <v>144.9</v>
      </c>
      <c r="U283">
        <v>152.80000000000001</v>
      </c>
      <c r="V283">
        <v>158</v>
      </c>
      <c r="W283">
        <v>143.6</v>
      </c>
      <c r="X283">
        <v>149.19999999999999</v>
      </c>
      <c r="Y283">
        <v>157.19999999999999</v>
      </c>
      <c r="Z283">
        <v>140.4</v>
      </c>
      <c r="AA283">
        <v>148.4</v>
      </c>
      <c r="AB283">
        <v>158.6</v>
      </c>
      <c r="AC283">
        <v>156.9</v>
      </c>
      <c r="AD283">
        <v>150.69999999999999</v>
      </c>
      <c r="AE283">
        <v>158.4</v>
      </c>
      <c r="AF283">
        <f>SUM(Table2[[#This Row],[Cereals and products]:[Food and beverages]])</f>
        <v>2095.6</v>
      </c>
      <c r="AG283">
        <f>SUM(Table2[[#This Row],[Housing]:[Household goods and services]],Table2[[#This Row],[Transport and communication]],Table2[[#This Row],[Education]])</f>
        <v>749.80000000000007</v>
      </c>
      <c r="AH283">
        <f>SUM(Table2[[#This Row],[Clothing]:[Clothing and footwear]])</f>
        <v>452.00000000000006</v>
      </c>
      <c r="AI283">
        <f>SUM(Table2[[#This Row],[Pan, tobacco and intoxicants]],Table2[[#This Row],[Recreation and amusement]],Table2[[#This Row],[Personal care and effects]])</f>
        <v>490.1</v>
      </c>
    </row>
    <row r="284" spans="1:35" x14ac:dyDescent="0.25">
      <c r="A284" t="s">
        <v>30</v>
      </c>
      <c r="B284">
        <v>2020</v>
      </c>
      <c r="C284" t="s">
        <v>55</v>
      </c>
      <c r="D284" s="2">
        <v>44166</v>
      </c>
      <c r="E284">
        <v>144.6</v>
      </c>
      <c r="F284">
        <v>188.5</v>
      </c>
      <c r="G284">
        <v>173.4</v>
      </c>
      <c r="H284">
        <v>154</v>
      </c>
      <c r="I284">
        <v>150</v>
      </c>
      <c r="J284">
        <v>145.9</v>
      </c>
      <c r="K284">
        <v>225.2</v>
      </c>
      <c r="L284">
        <v>159.5</v>
      </c>
      <c r="M284">
        <v>114.4</v>
      </c>
      <c r="N284">
        <v>163.5</v>
      </c>
      <c r="O284">
        <v>153.4</v>
      </c>
      <c r="P284">
        <v>163.6</v>
      </c>
      <c r="Q284">
        <v>164.5</v>
      </c>
      <c r="R284">
        <v>183.6</v>
      </c>
      <c r="S284">
        <v>157</v>
      </c>
      <c r="T284">
        <v>151.6</v>
      </c>
      <c r="U284">
        <v>156.30000000000001</v>
      </c>
      <c r="V284">
        <v>158.4</v>
      </c>
      <c r="W284">
        <v>148.69999999999999</v>
      </c>
      <c r="X284">
        <v>153.4</v>
      </c>
      <c r="Y284">
        <v>161.6</v>
      </c>
      <c r="Z284">
        <v>146.4</v>
      </c>
      <c r="AA284">
        <v>153.9</v>
      </c>
      <c r="AB284">
        <v>162.9</v>
      </c>
      <c r="AC284">
        <v>156.6</v>
      </c>
      <c r="AD284">
        <v>155.19999999999999</v>
      </c>
      <c r="AE284">
        <v>160.69999999999999</v>
      </c>
      <c r="AF284">
        <f>SUM(Table2[[#This Row],[Cereals and products]:[Food and beverages]])</f>
        <v>2100.5</v>
      </c>
      <c r="AG284">
        <f>SUM(Table2[[#This Row],[Housing]:[Household goods and services]],Table2[[#This Row],[Transport and communication]],Table2[[#This Row],[Education]])</f>
        <v>769.8</v>
      </c>
      <c r="AH284">
        <f>SUM(Table2[[#This Row],[Clothing]:[Clothing and footwear]])</f>
        <v>464.90000000000003</v>
      </c>
      <c r="AI284">
        <f>SUM(Table2[[#This Row],[Pan, tobacco and intoxicants]],Table2[[#This Row],[Recreation and amusement]],Table2[[#This Row],[Personal care and effects]])</f>
        <v>494.1</v>
      </c>
    </row>
    <row r="285" spans="1:35" x14ac:dyDescent="0.25">
      <c r="A285" t="s">
        <v>33</v>
      </c>
      <c r="B285">
        <v>2020</v>
      </c>
      <c r="C285" t="s">
        <v>55</v>
      </c>
      <c r="D285" s="2">
        <v>44166</v>
      </c>
      <c r="E285">
        <v>149</v>
      </c>
      <c r="F285">
        <v>195.7</v>
      </c>
      <c r="G285">
        <v>178.3</v>
      </c>
      <c r="H285">
        <v>154.19999999999999</v>
      </c>
      <c r="I285">
        <v>140.69999999999999</v>
      </c>
      <c r="J285">
        <v>149.69999999999999</v>
      </c>
      <c r="K285">
        <v>240.9</v>
      </c>
      <c r="L285">
        <v>161.5</v>
      </c>
      <c r="M285">
        <v>117.1</v>
      </c>
      <c r="N285">
        <v>161.9</v>
      </c>
      <c r="O285">
        <v>143.30000000000001</v>
      </c>
      <c r="P285">
        <v>166.1</v>
      </c>
      <c r="Q285">
        <v>167</v>
      </c>
      <c r="R285">
        <v>190.2</v>
      </c>
      <c r="S285">
        <v>151.9</v>
      </c>
      <c r="T285">
        <v>136.69999999999999</v>
      </c>
      <c r="U285">
        <v>149.6</v>
      </c>
      <c r="V285">
        <v>158.4</v>
      </c>
      <c r="W285">
        <v>137.9</v>
      </c>
      <c r="X285">
        <v>145.5</v>
      </c>
      <c r="Y285">
        <v>152.9</v>
      </c>
      <c r="Z285">
        <v>135.5</v>
      </c>
      <c r="AA285">
        <v>144.30000000000001</v>
      </c>
      <c r="AB285">
        <v>156.9</v>
      </c>
      <c r="AC285">
        <v>157.9</v>
      </c>
      <c r="AD285">
        <v>146.9</v>
      </c>
      <c r="AE285">
        <v>156.9</v>
      </c>
      <c r="AF285">
        <f>SUM(Table2[[#This Row],[Cereals and products]:[Food and beverages]])</f>
        <v>2125.4</v>
      </c>
      <c r="AG285">
        <f>SUM(Table2[[#This Row],[Housing]:[Household goods and services]],Table2[[#This Row],[Transport and communication]],Table2[[#This Row],[Education]])</f>
        <v>734.19999999999993</v>
      </c>
      <c r="AH285">
        <f>SUM(Table2[[#This Row],[Clothing]:[Clothing and footwear]])</f>
        <v>438.20000000000005</v>
      </c>
      <c r="AI285">
        <f>SUM(Table2[[#This Row],[Pan, tobacco and intoxicants]],Table2[[#This Row],[Recreation and amusement]],Table2[[#This Row],[Personal care and effects]])</f>
        <v>492.4</v>
      </c>
    </row>
    <row r="286" spans="1:35" x14ac:dyDescent="0.25">
      <c r="A286" t="s">
        <v>35</v>
      </c>
      <c r="B286">
        <v>2020</v>
      </c>
      <c r="C286" t="s">
        <v>55</v>
      </c>
      <c r="D286" s="2">
        <v>44166</v>
      </c>
      <c r="E286">
        <v>146</v>
      </c>
      <c r="F286">
        <v>191</v>
      </c>
      <c r="G286">
        <v>175.3</v>
      </c>
      <c r="H286">
        <v>154.1</v>
      </c>
      <c r="I286">
        <v>146.6</v>
      </c>
      <c r="J286">
        <v>147.69999999999999</v>
      </c>
      <c r="K286">
        <v>230.5</v>
      </c>
      <c r="L286">
        <v>160.19999999999999</v>
      </c>
      <c r="M286">
        <v>115.3</v>
      </c>
      <c r="N286">
        <v>163</v>
      </c>
      <c r="O286">
        <v>149.19999999999999</v>
      </c>
      <c r="P286">
        <v>164.8</v>
      </c>
      <c r="Q286">
        <v>165.4</v>
      </c>
      <c r="R286">
        <v>185.4</v>
      </c>
      <c r="S286">
        <v>155</v>
      </c>
      <c r="T286">
        <v>145.4</v>
      </c>
      <c r="U286">
        <v>153.6</v>
      </c>
      <c r="V286">
        <v>158.4</v>
      </c>
      <c r="W286">
        <v>144.6</v>
      </c>
      <c r="X286">
        <v>149.69999999999999</v>
      </c>
      <c r="Y286">
        <v>158.30000000000001</v>
      </c>
      <c r="Z286">
        <v>140.69999999999999</v>
      </c>
      <c r="AA286">
        <v>148.5</v>
      </c>
      <c r="AB286">
        <v>159.4</v>
      </c>
      <c r="AC286">
        <v>157.1</v>
      </c>
      <c r="AD286">
        <v>151.19999999999999</v>
      </c>
      <c r="AE286">
        <v>158.9</v>
      </c>
      <c r="AF286">
        <f>SUM(Table2[[#This Row],[Cereals and products]:[Food and beverages]])</f>
        <v>2109.1</v>
      </c>
      <c r="AG286">
        <f>SUM(Table2[[#This Row],[Housing]:[Household goods and services]],Table2[[#This Row],[Transport and communication]],Table2[[#This Row],[Education]])</f>
        <v>752.8</v>
      </c>
      <c r="AH286">
        <f>SUM(Table2[[#This Row],[Clothing]:[Clothing and footwear]])</f>
        <v>454</v>
      </c>
      <c r="AI286">
        <f>SUM(Table2[[#This Row],[Pan, tobacco and intoxicants]],Table2[[#This Row],[Recreation and amusement]],Table2[[#This Row],[Personal care and effects]])</f>
        <v>491</v>
      </c>
    </row>
    <row r="287" spans="1:35" x14ac:dyDescent="0.25">
      <c r="A287" t="s">
        <v>30</v>
      </c>
      <c r="B287">
        <v>2021</v>
      </c>
      <c r="C287" t="s">
        <v>31</v>
      </c>
      <c r="D287" s="2">
        <v>44197</v>
      </c>
      <c r="E287">
        <v>143.4</v>
      </c>
      <c r="F287">
        <v>187.5</v>
      </c>
      <c r="G287">
        <v>173.4</v>
      </c>
      <c r="H287">
        <v>154</v>
      </c>
      <c r="I287">
        <v>154.80000000000001</v>
      </c>
      <c r="J287">
        <v>147</v>
      </c>
      <c r="K287">
        <v>187.8</v>
      </c>
      <c r="L287">
        <v>159.5</v>
      </c>
      <c r="M287">
        <v>113.8</v>
      </c>
      <c r="N287">
        <v>164.5</v>
      </c>
      <c r="O287">
        <v>156.1</v>
      </c>
      <c r="P287">
        <v>164.3</v>
      </c>
      <c r="Q287">
        <v>159.6</v>
      </c>
      <c r="R287">
        <v>184.6</v>
      </c>
      <c r="S287">
        <v>157.5</v>
      </c>
      <c r="T287">
        <v>152.4</v>
      </c>
      <c r="U287">
        <v>156.80000000000001</v>
      </c>
      <c r="V287">
        <v>157.69999999999999</v>
      </c>
      <c r="W287">
        <v>150.9</v>
      </c>
      <c r="X287">
        <v>153.9</v>
      </c>
      <c r="Y287">
        <v>162.5</v>
      </c>
      <c r="Z287">
        <v>147.5</v>
      </c>
      <c r="AA287">
        <v>155.1</v>
      </c>
      <c r="AB287">
        <v>163.5</v>
      </c>
      <c r="AC287">
        <v>156.19999999999999</v>
      </c>
      <c r="AD287">
        <v>155.9</v>
      </c>
      <c r="AE287">
        <v>158.5</v>
      </c>
      <c r="AF287">
        <f>SUM(Table2[[#This Row],[Cereals and products]:[Food and beverages]])</f>
        <v>2065.6999999999998</v>
      </c>
      <c r="AG287">
        <f>SUM(Table2[[#This Row],[Housing]:[Household goods and services]],Table2[[#This Row],[Transport and communication]],Table2[[#This Row],[Education]])</f>
        <v>773.5</v>
      </c>
      <c r="AH287">
        <f>SUM(Table2[[#This Row],[Clothing]:[Clothing and footwear]])</f>
        <v>466.7</v>
      </c>
      <c r="AI287">
        <f>SUM(Table2[[#This Row],[Pan, tobacco and intoxicants]],Table2[[#This Row],[Recreation and amusement]],Table2[[#This Row],[Personal care and effects]])</f>
        <v>495.9</v>
      </c>
    </row>
    <row r="288" spans="1:35" x14ac:dyDescent="0.25">
      <c r="A288" t="s">
        <v>33</v>
      </c>
      <c r="B288">
        <v>2021</v>
      </c>
      <c r="C288" t="s">
        <v>31</v>
      </c>
      <c r="D288" s="2">
        <v>44197</v>
      </c>
      <c r="E288">
        <v>148</v>
      </c>
      <c r="F288">
        <v>194.8</v>
      </c>
      <c r="G288">
        <v>178.4</v>
      </c>
      <c r="H288">
        <v>154.4</v>
      </c>
      <c r="I288">
        <v>144.1</v>
      </c>
      <c r="J288">
        <v>152.6</v>
      </c>
      <c r="K288">
        <v>206.8</v>
      </c>
      <c r="L288">
        <v>162.1</v>
      </c>
      <c r="M288">
        <v>116.3</v>
      </c>
      <c r="N288">
        <v>163</v>
      </c>
      <c r="O288">
        <v>145.9</v>
      </c>
      <c r="P288">
        <v>167.2</v>
      </c>
      <c r="Q288">
        <v>163.4</v>
      </c>
      <c r="R288">
        <v>191.8</v>
      </c>
      <c r="S288">
        <v>152.5</v>
      </c>
      <c r="T288">
        <v>137.30000000000001</v>
      </c>
      <c r="U288">
        <v>150.19999999999999</v>
      </c>
      <c r="V288">
        <v>157.69999999999999</v>
      </c>
      <c r="W288">
        <v>142.9</v>
      </c>
      <c r="X288">
        <v>145.69999999999999</v>
      </c>
      <c r="Y288">
        <v>154.1</v>
      </c>
      <c r="Z288">
        <v>136.9</v>
      </c>
      <c r="AA288">
        <v>145.4</v>
      </c>
      <c r="AB288">
        <v>156.1</v>
      </c>
      <c r="AC288">
        <v>157.69999999999999</v>
      </c>
      <c r="AD288">
        <v>147.6</v>
      </c>
      <c r="AE288">
        <v>156</v>
      </c>
      <c r="AF288">
        <f>SUM(Table2[[#This Row],[Cereals and products]:[Food and beverages]])</f>
        <v>2097</v>
      </c>
      <c r="AG288">
        <f>SUM(Table2[[#This Row],[Housing]:[Household goods and services]],Table2[[#This Row],[Transport and communication]],Table2[[#This Row],[Education]])</f>
        <v>739.30000000000007</v>
      </c>
      <c r="AH288">
        <f>SUM(Table2[[#This Row],[Clothing]:[Clothing and footwear]])</f>
        <v>440</v>
      </c>
      <c r="AI288">
        <f>SUM(Table2[[#This Row],[Pan, tobacco and intoxicants]],Table2[[#This Row],[Recreation and amusement]],Table2[[#This Row],[Personal care and effects]])</f>
        <v>494.90000000000003</v>
      </c>
    </row>
    <row r="289" spans="1:35" x14ac:dyDescent="0.25">
      <c r="A289" t="s">
        <v>35</v>
      </c>
      <c r="B289">
        <v>2021</v>
      </c>
      <c r="C289" t="s">
        <v>31</v>
      </c>
      <c r="D289" s="2">
        <v>44197</v>
      </c>
      <c r="E289">
        <v>144.9</v>
      </c>
      <c r="F289">
        <v>190.1</v>
      </c>
      <c r="G289">
        <v>175.3</v>
      </c>
      <c r="H289">
        <v>154.1</v>
      </c>
      <c r="I289">
        <v>150.9</v>
      </c>
      <c r="J289">
        <v>149.6</v>
      </c>
      <c r="K289">
        <v>194.2</v>
      </c>
      <c r="L289">
        <v>160.4</v>
      </c>
      <c r="M289">
        <v>114.6</v>
      </c>
      <c r="N289">
        <v>164</v>
      </c>
      <c r="O289">
        <v>151.80000000000001</v>
      </c>
      <c r="P289">
        <v>165.6</v>
      </c>
      <c r="Q289">
        <v>161</v>
      </c>
      <c r="R289">
        <v>186.5</v>
      </c>
      <c r="S289">
        <v>155.5</v>
      </c>
      <c r="T289">
        <v>146.1</v>
      </c>
      <c r="U289">
        <v>154.19999999999999</v>
      </c>
      <c r="V289">
        <v>157.69999999999999</v>
      </c>
      <c r="W289">
        <v>147.9</v>
      </c>
      <c r="X289">
        <v>150</v>
      </c>
      <c r="Y289">
        <v>159.30000000000001</v>
      </c>
      <c r="Z289">
        <v>141.9</v>
      </c>
      <c r="AA289">
        <v>149.6</v>
      </c>
      <c r="AB289">
        <v>159.19999999999999</v>
      </c>
      <c r="AC289">
        <v>156.80000000000001</v>
      </c>
      <c r="AD289">
        <v>151.9</v>
      </c>
      <c r="AE289">
        <v>157.30000000000001</v>
      </c>
      <c r="AF289">
        <f>SUM(Table2[[#This Row],[Cereals and products]:[Food and beverages]])</f>
        <v>2076.5</v>
      </c>
      <c r="AG289">
        <f>SUM(Table2[[#This Row],[Housing]:[Household goods and services]],Table2[[#This Row],[Transport and communication]],Table2[[#This Row],[Education]])</f>
        <v>756.7</v>
      </c>
      <c r="AH289">
        <f>SUM(Table2[[#This Row],[Clothing]:[Clothing and footwear]])</f>
        <v>455.8</v>
      </c>
      <c r="AI289">
        <f>SUM(Table2[[#This Row],[Pan, tobacco and intoxicants]],Table2[[#This Row],[Recreation and amusement]],Table2[[#This Row],[Personal care and effects]])</f>
        <v>492.90000000000003</v>
      </c>
    </row>
    <row r="290" spans="1:35" x14ac:dyDescent="0.25">
      <c r="A290" t="s">
        <v>30</v>
      </c>
      <c r="B290">
        <v>2021</v>
      </c>
      <c r="C290" t="s">
        <v>36</v>
      </c>
      <c r="D290" s="2">
        <v>44228</v>
      </c>
      <c r="E290">
        <v>142.80000000000001</v>
      </c>
      <c r="F290">
        <v>184</v>
      </c>
      <c r="G290">
        <v>168</v>
      </c>
      <c r="H290">
        <v>154.4</v>
      </c>
      <c r="I290">
        <v>163</v>
      </c>
      <c r="J290">
        <v>147.80000000000001</v>
      </c>
      <c r="K290">
        <v>149.69999999999999</v>
      </c>
      <c r="L290">
        <v>158.30000000000001</v>
      </c>
      <c r="M290">
        <v>111.8</v>
      </c>
      <c r="N290">
        <v>165</v>
      </c>
      <c r="O290">
        <v>160</v>
      </c>
      <c r="P290">
        <v>165.8</v>
      </c>
      <c r="Q290">
        <v>154.69999999999999</v>
      </c>
      <c r="R290">
        <v>186.5</v>
      </c>
      <c r="S290">
        <v>159.1</v>
      </c>
      <c r="T290">
        <v>153.9</v>
      </c>
      <c r="U290">
        <v>158.4</v>
      </c>
      <c r="V290">
        <v>159.80000000000001</v>
      </c>
      <c r="W290">
        <v>154.4</v>
      </c>
      <c r="X290">
        <v>154.80000000000001</v>
      </c>
      <c r="Y290">
        <v>164.3</v>
      </c>
      <c r="Z290">
        <v>150.19999999999999</v>
      </c>
      <c r="AA290">
        <v>157</v>
      </c>
      <c r="AB290">
        <v>163.6</v>
      </c>
      <c r="AC290">
        <v>155.19999999999999</v>
      </c>
      <c r="AD290">
        <v>157.19999999999999</v>
      </c>
      <c r="AE290">
        <v>156.69999999999999</v>
      </c>
      <c r="AF290">
        <f>SUM(Table2[[#This Row],[Cereals and products]:[Food and beverages]])</f>
        <v>2025.3</v>
      </c>
      <c r="AG290">
        <f>SUM(Table2[[#This Row],[Housing]:[Household goods and services]],Table2[[#This Row],[Transport and communication]],Table2[[#This Row],[Education]])</f>
        <v>782.80000000000007</v>
      </c>
      <c r="AH290">
        <f>SUM(Table2[[#This Row],[Clothing]:[Clothing and footwear]])</f>
        <v>471.4</v>
      </c>
      <c r="AI290">
        <f>SUM(Table2[[#This Row],[Pan, tobacco and intoxicants]],Table2[[#This Row],[Recreation and amusement]],Table2[[#This Row],[Personal care and effects]])</f>
        <v>498.7</v>
      </c>
    </row>
    <row r="291" spans="1:35" x14ac:dyDescent="0.25">
      <c r="A291" t="s">
        <v>33</v>
      </c>
      <c r="B291">
        <v>2021</v>
      </c>
      <c r="C291" t="s">
        <v>36</v>
      </c>
      <c r="D291" s="2">
        <v>44228</v>
      </c>
      <c r="E291">
        <v>147.6</v>
      </c>
      <c r="F291">
        <v>191.2</v>
      </c>
      <c r="G291">
        <v>169.9</v>
      </c>
      <c r="H291">
        <v>155.1</v>
      </c>
      <c r="I291">
        <v>151.4</v>
      </c>
      <c r="J291">
        <v>154</v>
      </c>
      <c r="K291">
        <v>180.2</v>
      </c>
      <c r="L291">
        <v>159.80000000000001</v>
      </c>
      <c r="M291">
        <v>114.9</v>
      </c>
      <c r="N291">
        <v>162.5</v>
      </c>
      <c r="O291">
        <v>149.19999999999999</v>
      </c>
      <c r="P291">
        <v>169.4</v>
      </c>
      <c r="Q291">
        <v>160.80000000000001</v>
      </c>
      <c r="R291">
        <v>193.3</v>
      </c>
      <c r="S291">
        <v>154.19999999999999</v>
      </c>
      <c r="T291">
        <v>138.19999999999999</v>
      </c>
      <c r="U291">
        <v>151.80000000000001</v>
      </c>
      <c r="V291">
        <v>159.80000000000001</v>
      </c>
      <c r="W291">
        <v>149.1</v>
      </c>
      <c r="X291">
        <v>146.5</v>
      </c>
      <c r="Y291">
        <v>156.30000000000001</v>
      </c>
      <c r="Z291">
        <v>140.5</v>
      </c>
      <c r="AA291">
        <v>147.30000000000001</v>
      </c>
      <c r="AB291">
        <v>156.6</v>
      </c>
      <c r="AC291">
        <v>156.69999999999999</v>
      </c>
      <c r="AD291">
        <v>149.30000000000001</v>
      </c>
      <c r="AE291">
        <v>156.5</v>
      </c>
      <c r="AF291">
        <f>SUM(Table2[[#This Row],[Cereals and products]:[Food and beverages]])</f>
        <v>2066</v>
      </c>
      <c r="AG291">
        <f>SUM(Table2[[#This Row],[Housing]:[Household goods and services]],Table2[[#This Row],[Transport and communication]],Table2[[#This Row],[Education]])</f>
        <v>752.5</v>
      </c>
      <c r="AH291">
        <f>SUM(Table2[[#This Row],[Clothing]:[Clothing and footwear]])</f>
        <v>444.2</v>
      </c>
      <c r="AI291">
        <f>SUM(Table2[[#This Row],[Pan, tobacco and intoxicants]],Table2[[#This Row],[Recreation and amusement]],Table2[[#This Row],[Personal care and effects]])</f>
        <v>497.3</v>
      </c>
    </row>
    <row r="292" spans="1:35" x14ac:dyDescent="0.25">
      <c r="A292" t="s">
        <v>35</v>
      </c>
      <c r="B292">
        <v>2021</v>
      </c>
      <c r="C292" t="s">
        <v>36</v>
      </c>
      <c r="D292" s="2">
        <v>44228</v>
      </c>
      <c r="E292">
        <v>144.30000000000001</v>
      </c>
      <c r="F292">
        <v>186.5</v>
      </c>
      <c r="G292">
        <v>168.7</v>
      </c>
      <c r="H292">
        <v>154.69999999999999</v>
      </c>
      <c r="I292">
        <v>158.69999999999999</v>
      </c>
      <c r="J292">
        <v>150.69999999999999</v>
      </c>
      <c r="K292">
        <v>160</v>
      </c>
      <c r="L292">
        <v>158.80000000000001</v>
      </c>
      <c r="M292">
        <v>112.8</v>
      </c>
      <c r="N292">
        <v>164.2</v>
      </c>
      <c r="O292">
        <v>155.5</v>
      </c>
      <c r="P292">
        <v>167.5</v>
      </c>
      <c r="Q292">
        <v>156.9</v>
      </c>
      <c r="R292">
        <v>188.3</v>
      </c>
      <c r="S292">
        <v>157.19999999999999</v>
      </c>
      <c r="T292">
        <v>147.4</v>
      </c>
      <c r="U292">
        <v>155.80000000000001</v>
      </c>
      <c r="V292">
        <v>159.80000000000001</v>
      </c>
      <c r="W292">
        <v>152.4</v>
      </c>
      <c r="X292">
        <v>150.9</v>
      </c>
      <c r="Y292">
        <v>161.30000000000001</v>
      </c>
      <c r="Z292">
        <v>145.1</v>
      </c>
      <c r="AA292">
        <v>151.5</v>
      </c>
      <c r="AB292">
        <v>159.5</v>
      </c>
      <c r="AC292">
        <v>155.80000000000001</v>
      </c>
      <c r="AD292">
        <v>153.4</v>
      </c>
      <c r="AE292">
        <v>156.6</v>
      </c>
      <c r="AF292">
        <f>SUM(Table2[[#This Row],[Cereals and products]:[Food and beverages]])</f>
        <v>2039.3000000000002</v>
      </c>
      <c r="AG292">
        <f>SUM(Table2[[#This Row],[Housing]:[Household goods and services]],Table2[[#This Row],[Transport and communication]],Table2[[#This Row],[Education]])</f>
        <v>767.7</v>
      </c>
      <c r="AH292">
        <f>SUM(Table2[[#This Row],[Clothing]:[Clothing and footwear]])</f>
        <v>460.40000000000003</v>
      </c>
      <c r="AI292">
        <f>SUM(Table2[[#This Row],[Pan, tobacco and intoxicants]],Table2[[#This Row],[Recreation and amusement]],Table2[[#This Row],[Personal care and effects]])</f>
        <v>495.6</v>
      </c>
    </row>
    <row r="293" spans="1:35" x14ac:dyDescent="0.25">
      <c r="A293" t="s">
        <v>30</v>
      </c>
      <c r="B293">
        <v>2021</v>
      </c>
      <c r="C293" t="s">
        <v>38</v>
      </c>
      <c r="D293" s="2">
        <v>44256</v>
      </c>
      <c r="E293">
        <v>142.5</v>
      </c>
      <c r="F293">
        <v>189.4</v>
      </c>
      <c r="G293">
        <v>163.19999999999999</v>
      </c>
      <c r="H293">
        <v>154.5</v>
      </c>
      <c r="I293">
        <v>168.2</v>
      </c>
      <c r="J293">
        <v>150.5</v>
      </c>
      <c r="K293">
        <v>141</v>
      </c>
      <c r="L293">
        <v>159.19999999999999</v>
      </c>
      <c r="M293">
        <v>111.7</v>
      </c>
      <c r="N293">
        <v>164</v>
      </c>
      <c r="O293">
        <v>160.6</v>
      </c>
      <c r="P293">
        <v>166.4</v>
      </c>
      <c r="Q293">
        <v>154.5</v>
      </c>
      <c r="R293">
        <v>186.1</v>
      </c>
      <c r="S293">
        <v>159.6</v>
      </c>
      <c r="T293">
        <v>154.4</v>
      </c>
      <c r="U293">
        <v>158.9</v>
      </c>
      <c r="V293">
        <v>159.9</v>
      </c>
      <c r="W293">
        <v>156</v>
      </c>
      <c r="X293">
        <v>154.80000000000001</v>
      </c>
      <c r="Y293">
        <v>164.6</v>
      </c>
      <c r="Z293">
        <v>151.30000000000001</v>
      </c>
      <c r="AA293">
        <v>157.80000000000001</v>
      </c>
      <c r="AB293">
        <v>163.80000000000001</v>
      </c>
      <c r="AC293">
        <v>153.1</v>
      </c>
      <c r="AD293">
        <v>157.30000000000001</v>
      </c>
      <c r="AE293">
        <v>156.69999999999999</v>
      </c>
      <c r="AF293">
        <f>SUM(Table2[[#This Row],[Cereals and products]:[Food and beverages]])</f>
        <v>2025.7</v>
      </c>
      <c r="AG293">
        <f>SUM(Table2[[#This Row],[Housing]:[Household goods and services]],Table2[[#This Row],[Transport and communication]],Table2[[#This Row],[Education]])</f>
        <v>785.8</v>
      </c>
      <c r="AH293">
        <f>SUM(Table2[[#This Row],[Clothing]:[Clothing and footwear]])</f>
        <v>472.9</v>
      </c>
      <c r="AI293">
        <f>SUM(Table2[[#This Row],[Pan, tobacco and intoxicants]],Table2[[#This Row],[Recreation and amusement]],Table2[[#This Row],[Personal care and effects]])</f>
        <v>497</v>
      </c>
    </row>
    <row r="294" spans="1:35" x14ac:dyDescent="0.25">
      <c r="A294" t="s">
        <v>33</v>
      </c>
      <c r="B294">
        <v>2021</v>
      </c>
      <c r="C294" t="s">
        <v>38</v>
      </c>
      <c r="D294" s="2">
        <v>44256</v>
      </c>
      <c r="E294">
        <v>147.5</v>
      </c>
      <c r="F294">
        <v>197.5</v>
      </c>
      <c r="G294">
        <v>164.7</v>
      </c>
      <c r="H294">
        <v>155.6</v>
      </c>
      <c r="I294">
        <v>156.4</v>
      </c>
      <c r="J294">
        <v>157.30000000000001</v>
      </c>
      <c r="K294">
        <v>166.1</v>
      </c>
      <c r="L294">
        <v>161.1</v>
      </c>
      <c r="M294">
        <v>114.3</v>
      </c>
      <c r="N294">
        <v>162.6</v>
      </c>
      <c r="O294">
        <v>150.69999999999999</v>
      </c>
      <c r="P294">
        <v>170.3</v>
      </c>
      <c r="Q294">
        <v>160.4</v>
      </c>
      <c r="R294">
        <v>193.5</v>
      </c>
      <c r="S294">
        <v>155.1</v>
      </c>
      <c r="T294">
        <v>138.69999999999999</v>
      </c>
      <c r="U294">
        <v>152.6</v>
      </c>
      <c r="V294">
        <v>159.9</v>
      </c>
      <c r="W294">
        <v>154.80000000000001</v>
      </c>
      <c r="X294">
        <v>147.19999999999999</v>
      </c>
      <c r="Y294">
        <v>156.9</v>
      </c>
      <c r="Z294">
        <v>141.69999999999999</v>
      </c>
      <c r="AA294">
        <v>148.6</v>
      </c>
      <c r="AB294">
        <v>157.6</v>
      </c>
      <c r="AC294">
        <v>154.9</v>
      </c>
      <c r="AD294">
        <v>150</v>
      </c>
      <c r="AE294">
        <v>156.9</v>
      </c>
      <c r="AF294">
        <f>SUM(Table2[[#This Row],[Cereals and products]:[Food and beverages]])</f>
        <v>2064.4999999999995</v>
      </c>
      <c r="AG294">
        <f>SUM(Table2[[#This Row],[Housing]:[Household goods and services]],Table2[[#This Row],[Transport and communication]],Table2[[#This Row],[Education]])</f>
        <v>761.2</v>
      </c>
      <c r="AH294">
        <f>SUM(Table2[[#This Row],[Clothing]:[Clothing and footwear]])</f>
        <v>446.4</v>
      </c>
      <c r="AI294">
        <f>SUM(Table2[[#This Row],[Pan, tobacco and intoxicants]],Table2[[#This Row],[Recreation and amusement]],Table2[[#This Row],[Personal care and effects]])</f>
        <v>497</v>
      </c>
    </row>
    <row r="295" spans="1:35" x14ac:dyDescent="0.25">
      <c r="A295" t="s">
        <v>35</v>
      </c>
      <c r="B295">
        <v>2021</v>
      </c>
      <c r="C295" t="s">
        <v>38</v>
      </c>
      <c r="D295" s="2">
        <v>44256</v>
      </c>
      <c r="E295">
        <v>144.1</v>
      </c>
      <c r="F295">
        <v>192.2</v>
      </c>
      <c r="G295">
        <v>163.80000000000001</v>
      </c>
      <c r="H295">
        <v>154.9</v>
      </c>
      <c r="I295">
        <v>163.9</v>
      </c>
      <c r="J295">
        <v>153.69999999999999</v>
      </c>
      <c r="K295">
        <v>149.5</v>
      </c>
      <c r="L295">
        <v>159.80000000000001</v>
      </c>
      <c r="M295">
        <v>112.6</v>
      </c>
      <c r="N295">
        <v>163.5</v>
      </c>
      <c r="O295">
        <v>156.5</v>
      </c>
      <c r="P295">
        <v>168.2</v>
      </c>
      <c r="Q295">
        <v>156.69999999999999</v>
      </c>
      <c r="R295">
        <v>188.1</v>
      </c>
      <c r="S295">
        <v>157.80000000000001</v>
      </c>
      <c r="T295">
        <v>147.9</v>
      </c>
      <c r="U295">
        <v>156.4</v>
      </c>
      <c r="V295">
        <v>159.9</v>
      </c>
      <c r="W295">
        <v>155.5</v>
      </c>
      <c r="X295">
        <v>151.19999999999999</v>
      </c>
      <c r="Y295">
        <v>161.69999999999999</v>
      </c>
      <c r="Z295">
        <v>146.19999999999999</v>
      </c>
      <c r="AA295">
        <v>152.6</v>
      </c>
      <c r="AB295">
        <v>160.19999999999999</v>
      </c>
      <c r="AC295">
        <v>153.80000000000001</v>
      </c>
      <c r="AD295">
        <v>153.80000000000001</v>
      </c>
      <c r="AE295">
        <v>156.80000000000001</v>
      </c>
      <c r="AF295">
        <f>SUM(Table2[[#This Row],[Cereals and products]:[Food and beverages]])</f>
        <v>2039.3999999999999</v>
      </c>
      <c r="AG295">
        <f>SUM(Table2[[#This Row],[Housing]:[Household goods and services]],Table2[[#This Row],[Transport and communication]],Table2[[#This Row],[Education]])</f>
        <v>773</v>
      </c>
      <c r="AH295">
        <f>SUM(Table2[[#This Row],[Clothing]:[Clothing and footwear]])</f>
        <v>462.1</v>
      </c>
      <c r="AI295">
        <f>SUM(Table2[[#This Row],[Pan, tobacco and intoxicants]],Table2[[#This Row],[Recreation and amusement]],Table2[[#This Row],[Personal care and effects]])</f>
        <v>494.5</v>
      </c>
    </row>
    <row r="296" spans="1:35" x14ac:dyDescent="0.25">
      <c r="A296" t="s">
        <v>30</v>
      </c>
      <c r="B296">
        <v>2021</v>
      </c>
      <c r="C296" t="s">
        <v>39</v>
      </c>
      <c r="D296" s="2">
        <v>44287</v>
      </c>
      <c r="E296">
        <v>142.69999999999999</v>
      </c>
      <c r="F296">
        <v>195.5</v>
      </c>
      <c r="G296">
        <v>163.4</v>
      </c>
      <c r="H296">
        <v>155</v>
      </c>
      <c r="I296">
        <v>175.2</v>
      </c>
      <c r="J296">
        <v>160.6</v>
      </c>
      <c r="K296">
        <v>135.1</v>
      </c>
      <c r="L296">
        <v>161.1</v>
      </c>
      <c r="M296">
        <v>112.2</v>
      </c>
      <c r="N296">
        <v>164.4</v>
      </c>
      <c r="O296">
        <v>161.9</v>
      </c>
      <c r="P296">
        <v>166.8</v>
      </c>
      <c r="Q296">
        <v>155.6</v>
      </c>
      <c r="R296">
        <v>186.8</v>
      </c>
      <c r="S296">
        <v>160.69999999999999</v>
      </c>
      <c r="T296">
        <v>155.1</v>
      </c>
      <c r="U296">
        <v>159.9</v>
      </c>
      <c r="V296">
        <v>161.4</v>
      </c>
      <c r="W296">
        <v>156</v>
      </c>
      <c r="X296">
        <v>155.5</v>
      </c>
      <c r="Y296">
        <v>165.3</v>
      </c>
      <c r="Z296">
        <v>151.69999999999999</v>
      </c>
      <c r="AA296">
        <v>158.6</v>
      </c>
      <c r="AB296">
        <v>164.1</v>
      </c>
      <c r="AC296">
        <v>154.6</v>
      </c>
      <c r="AD296">
        <v>158</v>
      </c>
      <c r="AE296">
        <v>157.6</v>
      </c>
      <c r="AF296">
        <f>SUM(Table2[[#This Row],[Cereals and products]:[Food and beverages]])</f>
        <v>2049.5</v>
      </c>
      <c r="AG296">
        <f>SUM(Table2[[#This Row],[Housing]:[Household goods and services]],Table2[[#This Row],[Transport and communication]],Table2[[#This Row],[Education]])</f>
        <v>788.69999999999993</v>
      </c>
      <c r="AH296">
        <f>SUM(Table2[[#This Row],[Clothing]:[Clothing and footwear]])</f>
        <v>475.69999999999993</v>
      </c>
      <c r="AI296">
        <f>SUM(Table2[[#This Row],[Pan, tobacco and intoxicants]],Table2[[#This Row],[Recreation and amusement]],Table2[[#This Row],[Personal care and effects]])</f>
        <v>500</v>
      </c>
    </row>
    <row r="297" spans="1:35" x14ac:dyDescent="0.25">
      <c r="A297" t="s">
        <v>33</v>
      </c>
      <c r="B297">
        <v>2021</v>
      </c>
      <c r="C297" t="s">
        <v>39</v>
      </c>
      <c r="D297" s="2">
        <v>44287</v>
      </c>
      <c r="E297">
        <v>147.6</v>
      </c>
      <c r="F297">
        <v>202.5</v>
      </c>
      <c r="G297">
        <v>166.4</v>
      </c>
      <c r="H297">
        <v>156</v>
      </c>
      <c r="I297">
        <v>161.4</v>
      </c>
      <c r="J297">
        <v>168.8</v>
      </c>
      <c r="K297">
        <v>161.6</v>
      </c>
      <c r="L297">
        <v>162.80000000000001</v>
      </c>
      <c r="M297">
        <v>114.8</v>
      </c>
      <c r="N297">
        <v>162.80000000000001</v>
      </c>
      <c r="O297">
        <v>151.5</v>
      </c>
      <c r="P297">
        <v>171.4</v>
      </c>
      <c r="Q297">
        <v>162</v>
      </c>
      <c r="R297">
        <v>194.4</v>
      </c>
      <c r="S297">
        <v>155.9</v>
      </c>
      <c r="T297">
        <v>139.30000000000001</v>
      </c>
      <c r="U297">
        <v>153.4</v>
      </c>
      <c r="V297">
        <v>161.4</v>
      </c>
      <c r="W297">
        <v>154.9</v>
      </c>
      <c r="X297">
        <v>147.6</v>
      </c>
      <c r="Y297">
        <v>157.5</v>
      </c>
      <c r="Z297">
        <v>142.1</v>
      </c>
      <c r="AA297">
        <v>149.1</v>
      </c>
      <c r="AB297">
        <v>157.6</v>
      </c>
      <c r="AC297">
        <v>156.6</v>
      </c>
      <c r="AD297">
        <v>150.5</v>
      </c>
      <c r="AE297">
        <v>158</v>
      </c>
      <c r="AF297">
        <f>SUM(Table2[[#This Row],[Cereals and products]:[Food and beverages]])</f>
        <v>2089.6</v>
      </c>
      <c r="AG297">
        <f>SUM(Table2[[#This Row],[Housing]:[Household goods and services]],Table2[[#This Row],[Transport and communication]],Table2[[#This Row],[Education]])</f>
        <v>763.6</v>
      </c>
      <c r="AH297">
        <f>SUM(Table2[[#This Row],[Clothing]:[Clothing and footwear]])</f>
        <v>448.6</v>
      </c>
      <c r="AI297">
        <f>SUM(Table2[[#This Row],[Pan, tobacco and intoxicants]],Table2[[#This Row],[Recreation and amusement]],Table2[[#This Row],[Personal care and effects]])</f>
        <v>500.1</v>
      </c>
    </row>
    <row r="298" spans="1:35" x14ac:dyDescent="0.25">
      <c r="A298" t="s">
        <v>35</v>
      </c>
      <c r="B298">
        <v>2021</v>
      </c>
      <c r="C298" t="s">
        <v>39</v>
      </c>
      <c r="D298" s="2">
        <v>44287</v>
      </c>
      <c r="E298">
        <v>144.30000000000001</v>
      </c>
      <c r="F298">
        <v>198</v>
      </c>
      <c r="G298">
        <v>164.6</v>
      </c>
      <c r="H298">
        <v>155.4</v>
      </c>
      <c r="I298">
        <v>170.1</v>
      </c>
      <c r="J298">
        <v>164.4</v>
      </c>
      <c r="K298">
        <v>144.1</v>
      </c>
      <c r="L298">
        <v>161.69999999999999</v>
      </c>
      <c r="M298">
        <v>113.1</v>
      </c>
      <c r="N298">
        <v>163.9</v>
      </c>
      <c r="O298">
        <v>157.6</v>
      </c>
      <c r="P298">
        <v>168.9</v>
      </c>
      <c r="Q298">
        <v>158</v>
      </c>
      <c r="R298">
        <v>188.8</v>
      </c>
      <c r="S298">
        <v>158.80000000000001</v>
      </c>
      <c r="T298">
        <v>148.5</v>
      </c>
      <c r="U298">
        <v>157.30000000000001</v>
      </c>
      <c r="V298">
        <v>161.4</v>
      </c>
      <c r="W298">
        <v>155.6</v>
      </c>
      <c r="X298">
        <v>151.80000000000001</v>
      </c>
      <c r="Y298">
        <v>162.30000000000001</v>
      </c>
      <c r="Z298">
        <v>146.6</v>
      </c>
      <c r="AA298">
        <v>153.19999999999999</v>
      </c>
      <c r="AB298">
        <v>160.30000000000001</v>
      </c>
      <c r="AC298">
        <v>155.4</v>
      </c>
      <c r="AD298">
        <v>154.4</v>
      </c>
      <c r="AE298">
        <v>157.80000000000001</v>
      </c>
      <c r="AF298">
        <f>SUM(Table2[[#This Row],[Cereals and products]:[Food and beverages]])</f>
        <v>2064.1</v>
      </c>
      <c r="AG298">
        <f>SUM(Table2[[#This Row],[Housing]:[Household goods and services]],Table2[[#This Row],[Transport and communication]],Table2[[#This Row],[Education]])</f>
        <v>775.7</v>
      </c>
      <c r="AH298">
        <f>SUM(Table2[[#This Row],[Clothing]:[Clothing and footwear]])</f>
        <v>464.6</v>
      </c>
      <c r="AI298">
        <f>SUM(Table2[[#This Row],[Pan, tobacco and intoxicants]],Table2[[#This Row],[Recreation and amusement]],Table2[[#This Row],[Personal care and effects]])</f>
        <v>497.4</v>
      </c>
    </row>
    <row r="299" spans="1:35" x14ac:dyDescent="0.25">
      <c r="A299" t="s">
        <v>30</v>
      </c>
      <c r="B299">
        <v>2021</v>
      </c>
      <c r="C299" t="s">
        <v>41</v>
      </c>
      <c r="D299" s="2">
        <v>44317</v>
      </c>
      <c r="E299">
        <v>145.1</v>
      </c>
      <c r="F299">
        <v>198.5</v>
      </c>
      <c r="G299">
        <v>168.6</v>
      </c>
      <c r="H299">
        <v>155.80000000000001</v>
      </c>
      <c r="I299">
        <v>184.4</v>
      </c>
      <c r="J299">
        <v>162.30000000000001</v>
      </c>
      <c r="K299">
        <v>138.4</v>
      </c>
      <c r="L299">
        <v>165.1</v>
      </c>
      <c r="M299">
        <v>114.3</v>
      </c>
      <c r="N299">
        <v>169.7</v>
      </c>
      <c r="O299">
        <v>164.6</v>
      </c>
      <c r="P299">
        <v>169.8</v>
      </c>
      <c r="Q299">
        <v>158.69999999999999</v>
      </c>
      <c r="R299">
        <v>189.6</v>
      </c>
      <c r="S299">
        <v>165.3</v>
      </c>
      <c r="T299">
        <v>160.6</v>
      </c>
      <c r="U299">
        <v>164.5</v>
      </c>
      <c r="V299">
        <v>161.6</v>
      </c>
      <c r="W299">
        <v>161.69999999999999</v>
      </c>
      <c r="X299">
        <v>158.80000000000001</v>
      </c>
      <c r="Y299">
        <v>169.1</v>
      </c>
      <c r="Z299">
        <v>153.19999999999999</v>
      </c>
      <c r="AA299">
        <v>160</v>
      </c>
      <c r="AB299">
        <v>167.6</v>
      </c>
      <c r="AC299">
        <v>159.30000000000001</v>
      </c>
      <c r="AD299">
        <v>161.1</v>
      </c>
      <c r="AE299">
        <v>161.1</v>
      </c>
      <c r="AF299">
        <f>SUM(Table2[[#This Row],[Cereals and products]:[Food and beverages]])</f>
        <v>2095.2999999999997</v>
      </c>
      <c r="AG299">
        <f>SUM(Table2[[#This Row],[Housing]:[Household goods and services]],Table2[[#This Row],[Transport and communication]],Table2[[#This Row],[Education]])</f>
        <v>802.9</v>
      </c>
      <c r="AH299">
        <f>SUM(Table2[[#This Row],[Clothing]:[Clothing and footwear]])</f>
        <v>490.4</v>
      </c>
      <c r="AI299">
        <f>SUM(Table2[[#This Row],[Pan, tobacco and intoxicants]],Table2[[#This Row],[Recreation and amusement]],Table2[[#This Row],[Personal care and effects]])</f>
        <v>508.90000000000003</v>
      </c>
    </row>
    <row r="300" spans="1:35" x14ac:dyDescent="0.25">
      <c r="A300" t="s">
        <v>33</v>
      </c>
      <c r="B300">
        <v>2021</v>
      </c>
      <c r="C300" t="s">
        <v>41</v>
      </c>
      <c r="D300" s="2">
        <v>44317</v>
      </c>
      <c r="E300">
        <v>148.80000000000001</v>
      </c>
      <c r="F300">
        <v>204.3</v>
      </c>
      <c r="G300">
        <v>173</v>
      </c>
      <c r="H300">
        <v>156.5</v>
      </c>
      <c r="I300">
        <v>168.8</v>
      </c>
      <c r="J300">
        <v>172.5</v>
      </c>
      <c r="K300">
        <v>166.5</v>
      </c>
      <c r="L300">
        <v>165.9</v>
      </c>
      <c r="M300">
        <v>115.9</v>
      </c>
      <c r="N300">
        <v>165.2</v>
      </c>
      <c r="O300">
        <v>152</v>
      </c>
      <c r="P300">
        <v>171.1</v>
      </c>
      <c r="Q300">
        <v>164.2</v>
      </c>
      <c r="R300">
        <v>198.2</v>
      </c>
      <c r="S300">
        <v>156.5</v>
      </c>
      <c r="T300">
        <v>140.19999999999999</v>
      </c>
      <c r="U300">
        <v>154.1</v>
      </c>
      <c r="V300">
        <v>161.6</v>
      </c>
      <c r="W300">
        <v>155.5</v>
      </c>
      <c r="X300">
        <v>150.1</v>
      </c>
      <c r="Y300">
        <v>160.4</v>
      </c>
      <c r="Z300">
        <v>145</v>
      </c>
      <c r="AA300">
        <v>152.6</v>
      </c>
      <c r="AB300">
        <v>156.6</v>
      </c>
      <c r="AC300">
        <v>157.5</v>
      </c>
      <c r="AD300">
        <v>152.30000000000001</v>
      </c>
      <c r="AE300">
        <v>159.5</v>
      </c>
      <c r="AF300">
        <f>SUM(Table2[[#This Row],[Cereals and products]:[Food and beverages]])</f>
        <v>2124.7000000000003</v>
      </c>
      <c r="AG300">
        <f>SUM(Table2[[#This Row],[Housing]:[Household goods and services]],Table2[[#This Row],[Transport and communication]],Table2[[#This Row],[Education]])</f>
        <v>768.80000000000007</v>
      </c>
      <c r="AH300">
        <f>SUM(Table2[[#This Row],[Clothing]:[Clothing and footwear]])</f>
        <v>450.79999999999995</v>
      </c>
      <c r="AI300">
        <f>SUM(Table2[[#This Row],[Pan, tobacco and intoxicants]],Table2[[#This Row],[Recreation and amusement]],Table2[[#This Row],[Personal care and effects]])</f>
        <v>508.29999999999995</v>
      </c>
    </row>
    <row r="301" spans="1:35" x14ac:dyDescent="0.25">
      <c r="A301" t="s">
        <v>35</v>
      </c>
      <c r="B301">
        <v>2021</v>
      </c>
      <c r="C301" t="s">
        <v>41</v>
      </c>
      <c r="D301" s="2">
        <v>44317</v>
      </c>
      <c r="E301">
        <v>146.30000000000001</v>
      </c>
      <c r="F301">
        <v>200.5</v>
      </c>
      <c r="G301">
        <v>170.3</v>
      </c>
      <c r="H301">
        <v>156.1</v>
      </c>
      <c r="I301">
        <v>178.7</v>
      </c>
      <c r="J301">
        <v>167.1</v>
      </c>
      <c r="K301">
        <v>147.9</v>
      </c>
      <c r="L301">
        <v>165.4</v>
      </c>
      <c r="M301">
        <v>114.8</v>
      </c>
      <c r="N301">
        <v>168.2</v>
      </c>
      <c r="O301">
        <v>159.30000000000001</v>
      </c>
      <c r="P301">
        <v>170.4</v>
      </c>
      <c r="Q301">
        <v>160.69999999999999</v>
      </c>
      <c r="R301">
        <v>191.9</v>
      </c>
      <c r="S301">
        <v>161.80000000000001</v>
      </c>
      <c r="T301">
        <v>152.1</v>
      </c>
      <c r="U301">
        <v>160.4</v>
      </c>
      <c r="V301">
        <v>161.6</v>
      </c>
      <c r="W301">
        <v>159.4</v>
      </c>
      <c r="X301">
        <v>154.69999999999999</v>
      </c>
      <c r="Y301">
        <v>165.8</v>
      </c>
      <c r="Z301">
        <v>148.9</v>
      </c>
      <c r="AA301">
        <v>155.80000000000001</v>
      </c>
      <c r="AB301">
        <v>161.19999999999999</v>
      </c>
      <c r="AC301">
        <v>158.6</v>
      </c>
      <c r="AD301">
        <v>156.80000000000001</v>
      </c>
      <c r="AE301">
        <v>160.4</v>
      </c>
      <c r="AF301">
        <f>SUM(Table2[[#This Row],[Cereals and products]:[Food and beverages]])</f>
        <v>2105.7000000000003</v>
      </c>
      <c r="AG301">
        <f>SUM(Table2[[#This Row],[Housing]:[Household goods and services]],Table2[[#This Row],[Transport and communication]],Table2[[#This Row],[Education]])</f>
        <v>785.8</v>
      </c>
      <c r="AH301">
        <f>SUM(Table2[[#This Row],[Clothing]:[Clothing and footwear]])</f>
        <v>474.29999999999995</v>
      </c>
      <c r="AI301">
        <f>SUM(Table2[[#This Row],[Pan, tobacco and intoxicants]],Table2[[#This Row],[Recreation and amusement]],Table2[[#This Row],[Personal care and effects]])</f>
        <v>506.30000000000007</v>
      </c>
    </row>
    <row r="302" spans="1:35" x14ac:dyDescent="0.25">
      <c r="A302" t="s">
        <v>30</v>
      </c>
      <c r="B302">
        <v>2021</v>
      </c>
      <c r="C302" t="s">
        <v>42</v>
      </c>
      <c r="D302" s="2">
        <v>44348</v>
      </c>
      <c r="E302">
        <v>145.6</v>
      </c>
      <c r="F302">
        <v>200.1</v>
      </c>
      <c r="G302">
        <v>179.3</v>
      </c>
      <c r="H302">
        <v>156.1</v>
      </c>
      <c r="I302">
        <v>190.4</v>
      </c>
      <c r="J302">
        <v>158.6</v>
      </c>
      <c r="K302">
        <v>144.69999999999999</v>
      </c>
      <c r="L302">
        <v>165.5</v>
      </c>
      <c r="M302">
        <v>114.6</v>
      </c>
      <c r="N302">
        <v>170</v>
      </c>
      <c r="O302">
        <v>165.5</v>
      </c>
      <c r="P302">
        <v>171.7</v>
      </c>
      <c r="Q302">
        <v>160.5</v>
      </c>
      <c r="R302">
        <v>189.1</v>
      </c>
      <c r="S302">
        <v>165.3</v>
      </c>
      <c r="T302">
        <v>159.9</v>
      </c>
      <c r="U302">
        <v>164.6</v>
      </c>
      <c r="V302">
        <v>160.5</v>
      </c>
      <c r="W302">
        <v>162.1</v>
      </c>
      <c r="X302">
        <v>159.19999999999999</v>
      </c>
      <c r="Y302">
        <v>169.7</v>
      </c>
      <c r="Z302">
        <v>154.19999999999999</v>
      </c>
      <c r="AA302">
        <v>160.4</v>
      </c>
      <c r="AB302">
        <v>166.8</v>
      </c>
      <c r="AC302">
        <v>159.4</v>
      </c>
      <c r="AD302">
        <v>161.5</v>
      </c>
      <c r="AE302">
        <v>162.1</v>
      </c>
      <c r="AF302">
        <f>SUM(Table2[[#This Row],[Cereals and products]:[Food and beverages]])</f>
        <v>2122.6</v>
      </c>
      <c r="AG302">
        <f>SUM(Table2[[#This Row],[Housing]:[Household goods and services]],Table2[[#This Row],[Transport and communication]],Table2[[#This Row],[Education]])</f>
        <v>802.8</v>
      </c>
      <c r="AH302">
        <f>SUM(Table2[[#This Row],[Clothing]:[Clothing and footwear]])</f>
        <v>489.80000000000007</v>
      </c>
      <c r="AI302">
        <f>SUM(Table2[[#This Row],[Pan, tobacco and intoxicants]],Table2[[#This Row],[Recreation and amusement]],Table2[[#This Row],[Personal care and effects]])</f>
        <v>508.9</v>
      </c>
    </row>
    <row r="303" spans="1:35" x14ac:dyDescent="0.25">
      <c r="A303" t="s">
        <v>33</v>
      </c>
      <c r="B303">
        <v>2021</v>
      </c>
      <c r="C303" t="s">
        <v>42</v>
      </c>
      <c r="D303" s="2">
        <v>44348</v>
      </c>
      <c r="E303">
        <v>149.19999999999999</v>
      </c>
      <c r="F303">
        <v>205.5</v>
      </c>
      <c r="G303">
        <v>182.8</v>
      </c>
      <c r="H303">
        <v>156.5</v>
      </c>
      <c r="I303">
        <v>172.2</v>
      </c>
      <c r="J303">
        <v>171.5</v>
      </c>
      <c r="K303">
        <v>176.2</v>
      </c>
      <c r="L303">
        <v>166.9</v>
      </c>
      <c r="M303">
        <v>116.1</v>
      </c>
      <c r="N303">
        <v>165.5</v>
      </c>
      <c r="O303">
        <v>152.30000000000001</v>
      </c>
      <c r="P303">
        <v>173.3</v>
      </c>
      <c r="Q303">
        <v>166.2</v>
      </c>
      <c r="R303">
        <v>195.6</v>
      </c>
      <c r="S303">
        <v>157.30000000000001</v>
      </c>
      <c r="T303">
        <v>140.5</v>
      </c>
      <c r="U303">
        <v>154.80000000000001</v>
      </c>
      <c r="V303">
        <v>160.5</v>
      </c>
      <c r="W303">
        <v>156.1</v>
      </c>
      <c r="X303">
        <v>149.80000000000001</v>
      </c>
      <c r="Y303">
        <v>160.80000000000001</v>
      </c>
      <c r="Z303">
        <v>147.5</v>
      </c>
      <c r="AA303">
        <v>150.69999999999999</v>
      </c>
      <c r="AB303">
        <v>158.1</v>
      </c>
      <c r="AC303">
        <v>158</v>
      </c>
      <c r="AD303">
        <v>153.4</v>
      </c>
      <c r="AE303">
        <v>160.4</v>
      </c>
      <c r="AF303">
        <f>SUM(Table2[[#This Row],[Cereals and products]:[Food and beverages]])</f>
        <v>2154.1999999999998</v>
      </c>
      <c r="AG303">
        <f>SUM(Table2[[#This Row],[Housing]:[Household goods and services]],Table2[[#This Row],[Transport and communication]],Table2[[#This Row],[Education]])</f>
        <v>772.00000000000011</v>
      </c>
      <c r="AH303">
        <f>SUM(Table2[[#This Row],[Clothing]:[Clothing and footwear]])</f>
        <v>452.6</v>
      </c>
      <c r="AI303">
        <f>SUM(Table2[[#This Row],[Pan, tobacco and intoxicants]],Table2[[#This Row],[Recreation and amusement]],Table2[[#This Row],[Personal care and effects]])</f>
        <v>504.29999999999995</v>
      </c>
    </row>
    <row r="304" spans="1:35" x14ac:dyDescent="0.25">
      <c r="A304" t="s">
        <v>35</v>
      </c>
      <c r="B304">
        <v>2021</v>
      </c>
      <c r="C304" t="s">
        <v>42</v>
      </c>
      <c r="D304" s="2">
        <v>44348</v>
      </c>
      <c r="E304">
        <v>146.69999999999999</v>
      </c>
      <c r="F304">
        <v>202</v>
      </c>
      <c r="G304">
        <v>180.7</v>
      </c>
      <c r="H304">
        <v>156.19999999999999</v>
      </c>
      <c r="I304">
        <v>183.7</v>
      </c>
      <c r="J304">
        <v>164.6</v>
      </c>
      <c r="K304">
        <v>155.4</v>
      </c>
      <c r="L304">
        <v>166</v>
      </c>
      <c r="M304">
        <v>115.1</v>
      </c>
      <c r="N304">
        <v>168.5</v>
      </c>
      <c r="O304">
        <v>160</v>
      </c>
      <c r="P304">
        <v>172.4</v>
      </c>
      <c r="Q304">
        <v>162.6</v>
      </c>
      <c r="R304">
        <v>190.8</v>
      </c>
      <c r="S304">
        <v>162.19999999999999</v>
      </c>
      <c r="T304">
        <v>151.80000000000001</v>
      </c>
      <c r="U304">
        <v>160.69999999999999</v>
      </c>
      <c r="V304">
        <v>160.5</v>
      </c>
      <c r="W304">
        <v>159.80000000000001</v>
      </c>
      <c r="X304">
        <v>154.80000000000001</v>
      </c>
      <c r="Y304">
        <v>166.3</v>
      </c>
      <c r="Z304">
        <v>150.69999999999999</v>
      </c>
      <c r="AA304">
        <v>154.9</v>
      </c>
      <c r="AB304">
        <v>161.69999999999999</v>
      </c>
      <c r="AC304">
        <v>158.80000000000001</v>
      </c>
      <c r="AD304">
        <v>157.6</v>
      </c>
      <c r="AE304">
        <v>161.30000000000001</v>
      </c>
      <c r="AF304">
        <f>SUM(Table2[[#This Row],[Cereals and products]:[Food and beverages]])</f>
        <v>2133.9</v>
      </c>
      <c r="AG304">
        <f>SUM(Table2[[#This Row],[Housing]:[Household goods and services]],Table2[[#This Row],[Transport and communication]],Table2[[#This Row],[Education]])</f>
        <v>787.5</v>
      </c>
      <c r="AH304">
        <f>SUM(Table2[[#This Row],[Clothing]:[Clothing and footwear]])</f>
        <v>474.7</v>
      </c>
      <c r="AI304">
        <f>SUM(Table2[[#This Row],[Pan, tobacco and intoxicants]],Table2[[#This Row],[Recreation and amusement]],Table2[[#This Row],[Personal care and effects]])</f>
        <v>504.50000000000006</v>
      </c>
    </row>
    <row r="305" spans="1:35" x14ac:dyDescent="0.25">
      <c r="A305" t="s">
        <v>30</v>
      </c>
      <c r="B305">
        <v>2021</v>
      </c>
      <c r="C305" t="s">
        <v>44</v>
      </c>
      <c r="D305" s="2">
        <v>44378</v>
      </c>
      <c r="E305">
        <v>145.1</v>
      </c>
      <c r="F305">
        <v>204.5</v>
      </c>
      <c r="G305">
        <v>180.4</v>
      </c>
      <c r="H305">
        <v>157.1</v>
      </c>
      <c r="I305">
        <v>188.7</v>
      </c>
      <c r="J305">
        <v>157.69999999999999</v>
      </c>
      <c r="K305">
        <v>152.80000000000001</v>
      </c>
      <c r="L305">
        <v>163.6</v>
      </c>
      <c r="M305">
        <v>113.9</v>
      </c>
      <c r="N305">
        <v>169.7</v>
      </c>
      <c r="O305">
        <v>166.2</v>
      </c>
      <c r="P305">
        <v>171</v>
      </c>
      <c r="Q305">
        <v>161.69999999999999</v>
      </c>
      <c r="R305">
        <v>189.7</v>
      </c>
      <c r="S305">
        <v>166</v>
      </c>
      <c r="T305">
        <v>161.1</v>
      </c>
      <c r="U305">
        <v>165.3</v>
      </c>
      <c r="V305">
        <v>161.5</v>
      </c>
      <c r="W305">
        <v>162.5</v>
      </c>
      <c r="X305">
        <v>160.30000000000001</v>
      </c>
      <c r="Y305">
        <v>170.4</v>
      </c>
      <c r="Z305">
        <v>157.1</v>
      </c>
      <c r="AA305">
        <v>160.69999999999999</v>
      </c>
      <c r="AB305">
        <v>167.2</v>
      </c>
      <c r="AC305">
        <v>160.4</v>
      </c>
      <c r="AD305">
        <v>162.80000000000001</v>
      </c>
      <c r="AE305">
        <v>163.19999999999999</v>
      </c>
      <c r="AF305">
        <f>SUM(Table2[[#This Row],[Cereals and products]:[Food and beverages]])</f>
        <v>2132.4</v>
      </c>
      <c r="AG305">
        <f>SUM(Table2[[#This Row],[Housing]:[Household goods and services]],Table2[[#This Row],[Transport and communication]],Table2[[#This Row],[Education]])</f>
        <v>808.59999999999991</v>
      </c>
      <c r="AH305">
        <f>SUM(Table2[[#This Row],[Clothing]:[Clothing and footwear]])</f>
        <v>492.40000000000003</v>
      </c>
      <c r="AI305">
        <f>SUM(Table2[[#This Row],[Pan, tobacco and intoxicants]],Table2[[#This Row],[Recreation and amusement]],Table2[[#This Row],[Personal care and effects]])</f>
        <v>510.79999999999995</v>
      </c>
    </row>
    <row r="306" spans="1:35" x14ac:dyDescent="0.25">
      <c r="A306" t="s">
        <v>33</v>
      </c>
      <c r="B306">
        <v>2021</v>
      </c>
      <c r="C306" t="s">
        <v>44</v>
      </c>
      <c r="D306" s="2">
        <v>44378</v>
      </c>
      <c r="E306">
        <v>149.1</v>
      </c>
      <c r="F306">
        <v>210.9</v>
      </c>
      <c r="G306">
        <v>185</v>
      </c>
      <c r="H306">
        <v>158.19999999999999</v>
      </c>
      <c r="I306">
        <v>170.6</v>
      </c>
      <c r="J306">
        <v>170.9</v>
      </c>
      <c r="K306">
        <v>186.4</v>
      </c>
      <c r="L306">
        <v>164.7</v>
      </c>
      <c r="M306">
        <v>115.7</v>
      </c>
      <c r="N306">
        <v>165.5</v>
      </c>
      <c r="O306">
        <v>153.4</v>
      </c>
      <c r="P306">
        <v>173.5</v>
      </c>
      <c r="Q306">
        <v>167.9</v>
      </c>
      <c r="R306">
        <v>195.5</v>
      </c>
      <c r="S306">
        <v>157.9</v>
      </c>
      <c r="T306">
        <v>141.9</v>
      </c>
      <c r="U306">
        <v>155.5</v>
      </c>
      <c r="V306">
        <v>161.5</v>
      </c>
      <c r="W306">
        <v>157.69999999999999</v>
      </c>
      <c r="X306">
        <v>150.69999999999999</v>
      </c>
      <c r="Y306">
        <v>161.5</v>
      </c>
      <c r="Z306">
        <v>149.5</v>
      </c>
      <c r="AA306">
        <v>151.19999999999999</v>
      </c>
      <c r="AB306">
        <v>160.30000000000001</v>
      </c>
      <c r="AC306">
        <v>159.6</v>
      </c>
      <c r="AD306">
        <v>155</v>
      </c>
      <c r="AE306">
        <v>161.80000000000001</v>
      </c>
      <c r="AF306">
        <f>SUM(Table2[[#This Row],[Cereals and products]:[Food and beverages]])</f>
        <v>2171.8000000000002</v>
      </c>
      <c r="AG306">
        <f>SUM(Table2[[#This Row],[Housing]:[Household goods and services]],Table2[[#This Row],[Transport and communication]],Table2[[#This Row],[Education]])</f>
        <v>779.7</v>
      </c>
      <c r="AH306">
        <f>SUM(Table2[[#This Row],[Clothing]:[Clothing and footwear]])</f>
        <v>455.3</v>
      </c>
      <c r="AI306">
        <f>SUM(Table2[[#This Row],[Pan, tobacco and intoxicants]],Table2[[#This Row],[Recreation and amusement]],Table2[[#This Row],[Personal care and effects]])</f>
        <v>506.29999999999995</v>
      </c>
    </row>
    <row r="307" spans="1:35" x14ac:dyDescent="0.25">
      <c r="A307" t="s">
        <v>35</v>
      </c>
      <c r="B307">
        <v>2021</v>
      </c>
      <c r="C307" t="s">
        <v>44</v>
      </c>
      <c r="D307" s="2">
        <v>44378</v>
      </c>
      <c r="E307">
        <v>146.4</v>
      </c>
      <c r="F307">
        <v>206.8</v>
      </c>
      <c r="G307">
        <v>182.2</v>
      </c>
      <c r="H307">
        <v>157.5</v>
      </c>
      <c r="I307">
        <v>182.1</v>
      </c>
      <c r="J307">
        <v>163.9</v>
      </c>
      <c r="K307">
        <v>164.2</v>
      </c>
      <c r="L307">
        <v>164</v>
      </c>
      <c r="M307">
        <v>114.5</v>
      </c>
      <c r="N307">
        <v>168.3</v>
      </c>
      <c r="O307">
        <v>160.9</v>
      </c>
      <c r="P307">
        <v>172.2</v>
      </c>
      <c r="Q307">
        <v>164</v>
      </c>
      <c r="R307">
        <v>191.2</v>
      </c>
      <c r="S307">
        <v>162.80000000000001</v>
      </c>
      <c r="T307">
        <v>153.1</v>
      </c>
      <c r="U307">
        <v>161.4</v>
      </c>
      <c r="V307">
        <v>161.5</v>
      </c>
      <c r="W307">
        <v>160.69999999999999</v>
      </c>
      <c r="X307">
        <v>155.80000000000001</v>
      </c>
      <c r="Y307">
        <v>167</v>
      </c>
      <c r="Z307">
        <v>153.1</v>
      </c>
      <c r="AA307">
        <v>155.30000000000001</v>
      </c>
      <c r="AB307">
        <v>163.19999999999999</v>
      </c>
      <c r="AC307">
        <v>160.1</v>
      </c>
      <c r="AD307">
        <v>159</v>
      </c>
      <c r="AE307">
        <v>162.5</v>
      </c>
      <c r="AF307">
        <f>SUM(Table2[[#This Row],[Cereals and products]:[Food and beverages]])</f>
        <v>2147</v>
      </c>
      <c r="AG307">
        <f>SUM(Table2[[#This Row],[Housing]:[Household goods and services]],Table2[[#This Row],[Transport and communication]],Table2[[#This Row],[Education]])</f>
        <v>794.3</v>
      </c>
      <c r="AH307">
        <f>SUM(Table2[[#This Row],[Clothing]:[Clothing and footwear]])</f>
        <v>477.29999999999995</v>
      </c>
      <c r="AI307">
        <f>SUM(Table2[[#This Row],[Pan, tobacco and intoxicants]],Table2[[#This Row],[Recreation and amusement]],Table2[[#This Row],[Personal care and effects]])</f>
        <v>506.6</v>
      </c>
    </row>
    <row r="308" spans="1:35" x14ac:dyDescent="0.25">
      <c r="A308" t="s">
        <v>30</v>
      </c>
      <c r="B308">
        <v>2021</v>
      </c>
      <c r="C308" t="s">
        <v>46</v>
      </c>
      <c r="D308" s="2">
        <v>44409</v>
      </c>
      <c r="E308">
        <v>144.9</v>
      </c>
      <c r="F308">
        <v>202.3</v>
      </c>
      <c r="G308">
        <v>176.5</v>
      </c>
      <c r="H308">
        <v>157.5</v>
      </c>
      <c r="I308">
        <v>190.9</v>
      </c>
      <c r="J308">
        <v>155.69999999999999</v>
      </c>
      <c r="K308">
        <v>153.9</v>
      </c>
      <c r="L308">
        <v>162.80000000000001</v>
      </c>
      <c r="M308">
        <v>115.2</v>
      </c>
      <c r="N308">
        <v>169.8</v>
      </c>
      <c r="O308">
        <v>167.6</v>
      </c>
      <c r="P308">
        <v>171.9</v>
      </c>
      <c r="Q308">
        <v>161.80000000000001</v>
      </c>
      <c r="R308">
        <v>190.2</v>
      </c>
      <c r="S308">
        <v>167</v>
      </c>
      <c r="T308">
        <v>162.6</v>
      </c>
      <c r="U308">
        <v>166.3</v>
      </c>
      <c r="V308">
        <v>162.1</v>
      </c>
      <c r="W308">
        <v>163.1</v>
      </c>
      <c r="X308">
        <v>160.9</v>
      </c>
      <c r="Y308">
        <v>171.1</v>
      </c>
      <c r="Z308">
        <v>157.69999999999999</v>
      </c>
      <c r="AA308">
        <v>161.1</v>
      </c>
      <c r="AB308">
        <v>167.5</v>
      </c>
      <c r="AC308">
        <v>160.30000000000001</v>
      </c>
      <c r="AD308">
        <v>163.30000000000001</v>
      </c>
      <c r="AE308">
        <v>163.6</v>
      </c>
      <c r="AF308">
        <f>SUM(Table2[[#This Row],[Cereals and products]:[Food and beverages]])</f>
        <v>2130.8000000000002</v>
      </c>
      <c r="AG308">
        <f>SUM(Table2[[#This Row],[Housing]:[Household goods and services]],Table2[[#This Row],[Transport and communication]],Table2[[#This Row],[Education]])</f>
        <v>811.3</v>
      </c>
      <c r="AH308">
        <f>SUM(Table2[[#This Row],[Clothing]:[Clothing and footwear]])</f>
        <v>495.90000000000003</v>
      </c>
      <c r="AI308">
        <f>SUM(Table2[[#This Row],[Pan, tobacco and intoxicants]],Table2[[#This Row],[Recreation and amusement]],Table2[[#This Row],[Personal care and effects]])</f>
        <v>511.59999999999997</v>
      </c>
    </row>
    <row r="309" spans="1:35" x14ac:dyDescent="0.25">
      <c r="A309" t="s">
        <v>33</v>
      </c>
      <c r="B309">
        <v>2021</v>
      </c>
      <c r="C309" t="s">
        <v>46</v>
      </c>
      <c r="D309" s="2">
        <v>44409</v>
      </c>
      <c r="E309">
        <v>149.30000000000001</v>
      </c>
      <c r="F309">
        <v>207.4</v>
      </c>
      <c r="G309">
        <v>174.1</v>
      </c>
      <c r="H309">
        <v>159.19999999999999</v>
      </c>
      <c r="I309">
        <v>175</v>
      </c>
      <c r="J309">
        <v>161.30000000000001</v>
      </c>
      <c r="K309">
        <v>183.3</v>
      </c>
      <c r="L309">
        <v>164.5</v>
      </c>
      <c r="M309">
        <v>120.4</v>
      </c>
      <c r="N309">
        <v>166.2</v>
      </c>
      <c r="O309">
        <v>154.80000000000001</v>
      </c>
      <c r="P309">
        <v>175.1</v>
      </c>
      <c r="Q309">
        <v>167.3</v>
      </c>
      <c r="R309">
        <v>196.5</v>
      </c>
      <c r="S309">
        <v>159.80000000000001</v>
      </c>
      <c r="T309">
        <v>143.6</v>
      </c>
      <c r="U309">
        <v>157.30000000000001</v>
      </c>
      <c r="V309">
        <v>162.1</v>
      </c>
      <c r="W309">
        <v>160.69999999999999</v>
      </c>
      <c r="X309">
        <v>153.19999999999999</v>
      </c>
      <c r="Y309">
        <v>162.80000000000001</v>
      </c>
      <c r="Z309">
        <v>150.4</v>
      </c>
      <c r="AA309">
        <v>153.69999999999999</v>
      </c>
      <c r="AB309">
        <v>160.4</v>
      </c>
      <c r="AC309">
        <v>159.6</v>
      </c>
      <c r="AD309">
        <v>156</v>
      </c>
      <c r="AE309">
        <v>162.30000000000001</v>
      </c>
      <c r="AF309">
        <f>SUM(Table2[[#This Row],[Cereals and products]:[Food and beverages]])</f>
        <v>2157.9</v>
      </c>
      <c r="AG309">
        <f>SUM(Table2[[#This Row],[Housing]:[Household goods and services]],Table2[[#This Row],[Transport and communication]],Table2[[#This Row],[Education]])</f>
        <v>786.8</v>
      </c>
      <c r="AH309">
        <f>SUM(Table2[[#This Row],[Clothing]:[Clothing and footwear]])</f>
        <v>460.7</v>
      </c>
      <c r="AI309">
        <f>SUM(Table2[[#This Row],[Pan, tobacco and intoxicants]],Table2[[#This Row],[Recreation and amusement]],Table2[[#This Row],[Personal care and effects]])</f>
        <v>509.79999999999995</v>
      </c>
    </row>
    <row r="310" spans="1:35" x14ac:dyDescent="0.25">
      <c r="A310" t="s">
        <v>35</v>
      </c>
      <c r="B310">
        <v>2021</v>
      </c>
      <c r="C310" t="s">
        <v>46</v>
      </c>
      <c r="D310" s="2">
        <v>44409</v>
      </c>
      <c r="E310">
        <v>146.6</v>
      </c>
      <c r="F310">
        <v>204</v>
      </c>
      <c r="G310">
        <v>172.8</v>
      </c>
      <c r="H310">
        <v>158.4</v>
      </c>
      <c r="I310">
        <v>188</v>
      </c>
      <c r="J310">
        <v>156.80000000000001</v>
      </c>
      <c r="K310">
        <v>162.19999999999999</v>
      </c>
      <c r="L310">
        <v>164.1</v>
      </c>
      <c r="M310">
        <v>119.7</v>
      </c>
      <c r="N310">
        <v>168.8</v>
      </c>
      <c r="O310">
        <v>162.69999999999999</v>
      </c>
      <c r="P310">
        <v>173.9</v>
      </c>
      <c r="Q310">
        <v>164</v>
      </c>
      <c r="R310">
        <v>192.1</v>
      </c>
      <c r="S310">
        <v>164.5</v>
      </c>
      <c r="T310">
        <v>155.30000000000001</v>
      </c>
      <c r="U310">
        <v>163.19999999999999</v>
      </c>
      <c r="V310">
        <v>162.1</v>
      </c>
      <c r="W310">
        <v>162.6</v>
      </c>
      <c r="X310">
        <v>157.5</v>
      </c>
      <c r="Y310">
        <v>168.4</v>
      </c>
      <c r="Z310">
        <v>154</v>
      </c>
      <c r="AA310">
        <v>157.6</v>
      </c>
      <c r="AB310">
        <v>163.80000000000001</v>
      </c>
      <c r="AC310">
        <v>160</v>
      </c>
      <c r="AD310">
        <v>160</v>
      </c>
      <c r="AE310">
        <v>163.19999999999999</v>
      </c>
      <c r="AF310">
        <f>SUM(Table2[[#This Row],[Cereals and products]:[Food and beverages]])</f>
        <v>2142</v>
      </c>
      <c r="AG310">
        <f>SUM(Table2[[#This Row],[Housing]:[Household goods and services]],Table2[[#This Row],[Transport and communication]],Table2[[#This Row],[Education]])</f>
        <v>800</v>
      </c>
      <c r="AH310">
        <f>SUM(Table2[[#This Row],[Clothing]:[Clothing and footwear]])</f>
        <v>483</v>
      </c>
      <c r="AI310">
        <f>SUM(Table2[[#This Row],[Pan, tobacco and intoxicants]],Table2[[#This Row],[Recreation and amusement]],Table2[[#This Row],[Personal care and effects]])</f>
        <v>509.7</v>
      </c>
    </row>
    <row r="311" spans="1:35" x14ac:dyDescent="0.25">
      <c r="A311" t="s">
        <v>30</v>
      </c>
      <c r="B311">
        <v>2021</v>
      </c>
      <c r="C311" t="s">
        <v>48</v>
      </c>
      <c r="D311" s="2">
        <v>44440</v>
      </c>
      <c r="E311">
        <v>145.4</v>
      </c>
      <c r="F311">
        <v>202.1</v>
      </c>
      <c r="G311">
        <v>172</v>
      </c>
      <c r="H311">
        <v>158</v>
      </c>
      <c r="I311">
        <v>195.5</v>
      </c>
      <c r="J311">
        <v>152.69999999999999</v>
      </c>
      <c r="K311">
        <v>151.4</v>
      </c>
      <c r="L311">
        <v>163.9</v>
      </c>
      <c r="M311">
        <v>119.3</v>
      </c>
      <c r="N311">
        <v>170.1</v>
      </c>
      <c r="O311">
        <v>168.3</v>
      </c>
      <c r="P311">
        <v>172.8</v>
      </c>
      <c r="Q311">
        <v>162.1</v>
      </c>
      <c r="R311">
        <v>190.5</v>
      </c>
      <c r="S311">
        <v>167.7</v>
      </c>
      <c r="T311">
        <v>163.6</v>
      </c>
      <c r="U311">
        <v>167.1</v>
      </c>
      <c r="V311">
        <v>162.1</v>
      </c>
      <c r="W311">
        <v>163.69999999999999</v>
      </c>
      <c r="X311">
        <v>161.30000000000001</v>
      </c>
      <c r="Y311">
        <v>171.9</v>
      </c>
      <c r="Z311">
        <v>157.80000000000001</v>
      </c>
      <c r="AA311">
        <v>162.69999999999999</v>
      </c>
      <c r="AB311">
        <v>168.5</v>
      </c>
      <c r="AC311">
        <v>160.19999999999999</v>
      </c>
      <c r="AD311">
        <v>163.80000000000001</v>
      </c>
      <c r="AE311">
        <v>164</v>
      </c>
      <c r="AF311">
        <f>SUM(Table2[[#This Row],[Cereals and products]:[Food and beverages]])</f>
        <v>2133.6</v>
      </c>
      <c r="AG311">
        <f>SUM(Table2[[#This Row],[Housing]:[Household goods and services]],Table2[[#This Row],[Transport and communication]],Table2[[#This Row],[Education]])</f>
        <v>813.4</v>
      </c>
      <c r="AH311">
        <f>SUM(Table2[[#This Row],[Clothing]:[Clothing and footwear]])</f>
        <v>498.4</v>
      </c>
      <c r="AI311">
        <f>SUM(Table2[[#This Row],[Pan, tobacco and intoxicants]],Table2[[#This Row],[Recreation and amusement]],Table2[[#This Row],[Personal care and effects]])</f>
        <v>513.4</v>
      </c>
    </row>
    <row r="312" spans="1:35" x14ac:dyDescent="0.25">
      <c r="A312" t="s">
        <v>33</v>
      </c>
      <c r="B312">
        <v>2021</v>
      </c>
      <c r="C312" t="s">
        <v>48</v>
      </c>
      <c r="D312" s="2">
        <v>44440</v>
      </c>
      <c r="E312">
        <v>149.30000000000001</v>
      </c>
      <c r="F312">
        <v>207.4</v>
      </c>
      <c r="G312">
        <v>174.1</v>
      </c>
      <c r="H312">
        <v>159.1</v>
      </c>
      <c r="I312">
        <v>175</v>
      </c>
      <c r="J312">
        <v>161.19999999999999</v>
      </c>
      <c r="K312">
        <v>183.5</v>
      </c>
      <c r="L312">
        <v>164.5</v>
      </c>
      <c r="M312">
        <v>120.4</v>
      </c>
      <c r="N312">
        <v>166.2</v>
      </c>
      <c r="O312">
        <v>154.80000000000001</v>
      </c>
      <c r="P312">
        <v>175.1</v>
      </c>
      <c r="Q312">
        <v>167.3</v>
      </c>
      <c r="R312">
        <v>196.5</v>
      </c>
      <c r="S312">
        <v>159.80000000000001</v>
      </c>
      <c r="T312">
        <v>143.6</v>
      </c>
      <c r="U312">
        <v>157.4</v>
      </c>
      <c r="V312">
        <v>162.1</v>
      </c>
      <c r="W312">
        <v>160.80000000000001</v>
      </c>
      <c r="X312">
        <v>153.30000000000001</v>
      </c>
      <c r="Y312">
        <v>162.80000000000001</v>
      </c>
      <c r="Z312">
        <v>150.5</v>
      </c>
      <c r="AA312">
        <v>153.9</v>
      </c>
      <c r="AB312">
        <v>160.30000000000001</v>
      </c>
      <c r="AC312">
        <v>159.6</v>
      </c>
      <c r="AD312">
        <v>156</v>
      </c>
      <c r="AE312">
        <v>162.30000000000001</v>
      </c>
      <c r="AF312">
        <f>SUM(Table2[[#This Row],[Cereals and products]:[Food and beverages]])</f>
        <v>2157.9</v>
      </c>
      <c r="AG312">
        <f>SUM(Table2[[#This Row],[Housing]:[Household goods and services]],Table2[[#This Row],[Transport and communication]],Table2[[#This Row],[Education]])</f>
        <v>787</v>
      </c>
      <c r="AH312">
        <f>SUM(Table2[[#This Row],[Clothing]:[Clothing and footwear]])</f>
        <v>460.79999999999995</v>
      </c>
      <c r="AI312">
        <f>SUM(Table2[[#This Row],[Pan, tobacco and intoxicants]],Table2[[#This Row],[Recreation and amusement]],Table2[[#This Row],[Personal care and effects]])</f>
        <v>510</v>
      </c>
    </row>
    <row r="313" spans="1:35" x14ac:dyDescent="0.25">
      <c r="A313" t="s">
        <v>35</v>
      </c>
      <c r="B313">
        <v>2021</v>
      </c>
      <c r="C313" t="s">
        <v>48</v>
      </c>
      <c r="D313" s="2">
        <v>44440</v>
      </c>
      <c r="E313">
        <v>146.6</v>
      </c>
      <c r="F313">
        <v>204</v>
      </c>
      <c r="G313">
        <v>172.8</v>
      </c>
      <c r="H313">
        <v>158.4</v>
      </c>
      <c r="I313">
        <v>188</v>
      </c>
      <c r="J313">
        <v>156.69999999999999</v>
      </c>
      <c r="K313">
        <v>162.30000000000001</v>
      </c>
      <c r="L313">
        <v>164.1</v>
      </c>
      <c r="M313">
        <v>119.7</v>
      </c>
      <c r="N313">
        <v>168.8</v>
      </c>
      <c r="O313">
        <v>162.69999999999999</v>
      </c>
      <c r="P313">
        <v>173.9</v>
      </c>
      <c r="Q313">
        <v>164</v>
      </c>
      <c r="R313">
        <v>192.1</v>
      </c>
      <c r="S313">
        <v>164.6</v>
      </c>
      <c r="T313">
        <v>155.30000000000001</v>
      </c>
      <c r="U313">
        <v>163.30000000000001</v>
      </c>
      <c r="V313">
        <v>162.1</v>
      </c>
      <c r="W313">
        <v>162.6</v>
      </c>
      <c r="X313">
        <v>157.5</v>
      </c>
      <c r="Y313">
        <v>168.4</v>
      </c>
      <c r="Z313">
        <v>154</v>
      </c>
      <c r="AA313">
        <v>157.69999999999999</v>
      </c>
      <c r="AB313">
        <v>163.69999999999999</v>
      </c>
      <c r="AC313">
        <v>160</v>
      </c>
      <c r="AD313">
        <v>160</v>
      </c>
      <c r="AE313">
        <v>163.19999999999999</v>
      </c>
      <c r="AF313">
        <f>SUM(Table2[[#This Row],[Cereals and products]:[Food and beverages]])</f>
        <v>2142</v>
      </c>
      <c r="AG313">
        <f>SUM(Table2[[#This Row],[Housing]:[Household goods and services]],Table2[[#This Row],[Transport and communication]],Table2[[#This Row],[Education]])</f>
        <v>799.90000000000009</v>
      </c>
      <c r="AH313">
        <f>SUM(Table2[[#This Row],[Clothing]:[Clothing and footwear]])</f>
        <v>483.2</v>
      </c>
      <c r="AI313">
        <f>SUM(Table2[[#This Row],[Pan, tobacco and intoxicants]],Table2[[#This Row],[Recreation and amusement]],Table2[[#This Row],[Personal care and effects]])</f>
        <v>509.79999999999995</v>
      </c>
    </row>
    <row r="314" spans="1:35" x14ac:dyDescent="0.25">
      <c r="A314" t="s">
        <v>30</v>
      </c>
      <c r="B314">
        <v>2021</v>
      </c>
      <c r="C314" t="s">
        <v>50</v>
      </c>
      <c r="D314" s="2">
        <v>44470</v>
      </c>
      <c r="E314">
        <v>146.1</v>
      </c>
      <c r="F314">
        <v>202.5</v>
      </c>
      <c r="G314">
        <v>170.1</v>
      </c>
      <c r="H314">
        <v>158.4</v>
      </c>
      <c r="I314">
        <v>198.8</v>
      </c>
      <c r="J314">
        <v>152.6</v>
      </c>
      <c r="K314">
        <v>170.4</v>
      </c>
      <c r="L314">
        <v>165.2</v>
      </c>
      <c r="M314">
        <v>121.6</v>
      </c>
      <c r="N314">
        <v>170.6</v>
      </c>
      <c r="O314">
        <v>168.8</v>
      </c>
      <c r="P314">
        <v>173.6</v>
      </c>
      <c r="Q314">
        <v>165.5</v>
      </c>
      <c r="R314">
        <v>191.2</v>
      </c>
      <c r="S314">
        <v>168.9</v>
      </c>
      <c r="T314">
        <v>164.8</v>
      </c>
      <c r="U314">
        <v>168.3</v>
      </c>
      <c r="V314">
        <v>163.6</v>
      </c>
      <c r="W314">
        <v>165.5</v>
      </c>
      <c r="X314">
        <v>162</v>
      </c>
      <c r="Y314">
        <v>172.5</v>
      </c>
      <c r="Z314">
        <v>159.5</v>
      </c>
      <c r="AA314">
        <v>163.19999999999999</v>
      </c>
      <c r="AB314">
        <v>169</v>
      </c>
      <c r="AC314">
        <v>161.1</v>
      </c>
      <c r="AD314">
        <v>164.7</v>
      </c>
      <c r="AE314">
        <v>166.3</v>
      </c>
      <c r="AF314">
        <f>SUM(Table2[[#This Row],[Cereals and products]:[Food and beverages]])</f>
        <v>2164.1999999999998</v>
      </c>
      <c r="AG314">
        <f>SUM(Table2[[#This Row],[Housing]:[Household goods and services]],Table2[[#This Row],[Transport and communication]],Table2[[#This Row],[Education]])</f>
        <v>819.6</v>
      </c>
      <c r="AH314">
        <f>SUM(Table2[[#This Row],[Clothing]:[Clothing and footwear]])</f>
        <v>502.00000000000006</v>
      </c>
      <c r="AI314">
        <f>SUM(Table2[[#This Row],[Pan, tobacco and intoxicants]],Table2[[#This Row],[Recreation and amusement]],Table2[[#This Row],[Personal care and effects]])</f>
        <v>515.5</v>
      </c>
    </row>
    <row r="315" spans="1:35" x14ac:dyDescent="0.25">
      <c r="A315" t="s">
        <v>33</v>
      </c>
      <c r="B315">
        <v>2021</v>
      </c>
      <c r="C315" t="s">
        <v>50</v>
      </c>
      <c r="D315" s="2">
        <v>44470</v>
      </c>
      <c r="E315">
        <v>150.1</v>
      </c>
      <c r="F315">
        <v>208.4</v>
      </c>
      <c r="G315">
        <v>173</v>
      </c>
      <c r="H315">
        <v>159.19999999999999</v>
      </c>
      <c r="I315">
        <v>176.6</v>
      </c>
      <c r="J315">
        <v>159.30000000000001</v>
      </c>
      <c r="K315">
        <v>214.4</v>
      </c>
      <c r="L315">
        <v>165.3</v>
      </c>
      <c r="M315">
        <v>122.5</v>
      </c>
      <c r="N315">
        <v>166.8</v>
      </c>
      <c r="O315">
        <v>155.4</v>
      </c>
      <c r="P315">
        <v>175.9</v>
      </c>
      <c r="Q315">
        <v>171.5</v>
      </c>
      <c r="R315">
        <v>197</v>
      </c>
      <c r="S315">
        <v>160.80000000000001</v>
      </c>
      <c r="T315">
        <v>144.4</v>
      </c>
      <c r="U315">
        <v>158.30000000000001</v>
      </c>
      <c r="V315">
        <v>163.6</v>
      </c>
      <c r="W315">
        <v>162.19999999999999</v>
      </c>
      <c r="X315">
        <v>154.30000000000001</v>
      </c>
      <c r="Y315">
        <v>163.5</v>
      </c>
      <c r="Z315">
        <v>152.19999999999999</v>
      </c>
      <c r="AA315">
        <v>155.1</v>
      </c>
      <c r="AB315">
        <v>160.30000000000001</v>
      </c>
      <c r="AC315">
        <v>160.30000000000001</v>
      </c>
      <c r="AD315">
        <v>157</v>
      </c>
      <c r="AE315">
        <v>164.6</v>
      </c>
      <c r="AF315">
        <f>SUM(Table2[[#This Row],[Cereals and products]:[Food and beverages]])</f>
        <v>2198.4000000000005</v>
      </c>
      <c r="AG315">
        <f>SUM(Table2[[#This Row],[Housing]:[Household goods and services]],Table2[[#This Row],[Transport and communication]],Table2[[#This Row],[Education]])</f>
        <v>792.59999999999991</v>
      </c>
      <c r="AH315">
        <f>SUM(Table2[[#This Row],[Clothing]:[Clothing and footwear]])</f>
        <v>463.50000000000006</v>
      </c>
      <c r="AI315">
        <f>SUM(Table2[[#This Row],[Pan, tobacco and intoxicants]],Table2[[#This Row],[Recreation and amusement]],Table2[[#This Row],[Personal care and effects]])</f>
        <v>512.40000000000009</v>
      </c>
    </row>
    <row r="316" spans="1:35" x14ac:dyDescent="0.25">
      <c r="A316" t="s">
        <v>35</v>
      </c>
      <c r="B316">
        <v>2021</v>
      </c>
      <c r="C316" t="s">
        <v>50</v>
      </c>
      <c r="D316" s="2">
        <v>44470</v>
      </c>
      <c r="E316">
        <v>147.4</v>
      </c>
      <c r="F316">
        <v>204.6</v>
      </c>
      <c r="G316">
        <v>171.2</v>
      </c>
      <c r="H316">
        <v>158.69999999999999</v>
      </c>
      <c r="I316">
        <v>190.6</v>
      </c>
      <c r="J316">
        <v>155.69999999999999</v>
      </c>
      <c r="K316">
        <v>185.3</v>
      </c>
      <c r="L316">
        <v>165.2</v>
      </c>
      <c r="M316">
        <v>121.9</v>
      </c>
      <c r="N316">
        <v>169.3</v>
      </c>
      <c r="O316">
        <v>163.19999999999999</v>
      </c>
      <c r="P316">
        <v>174.7</v>
      </c>
      <c r="Q316">
        <v>167.7</v>
      </c>
      <c r="R316">
        <v>192.7</v>
      </c>
      <c r="S316">
        <v>165.7</v>
      </c>
      <c r="T316">
        <v>156.30000000000001</v>
      </c>
      <c r="U316">
        <v>164.3</v>
      </c>
      <c r="V316">
        <v>163.6</v>
      </c>
      <c r="W316">
        <v>164.2</v>
      </c>
      <c r="X316">
        <v>158.4</v>
      </c>
      <c r="Y316">
        <v>169.1</v>
      </c>
      <c r="Z316">
        <v>155.69999999999999</v>
      </c>
      <c r="AA316">
        <v>158.6</v>
      </c>
      <c r="AB316">
        <v>163.9</v>
      </c>
      <c r="AC316">
        <v>160.80000000000001</v>
      </c>
      <c r="AD316">
        <v>161</v>
      </c>
      <c r="AE316">
        <v>165.5</v>
      </c>
      <c r="AF316">
        <f>SUM(Table2[[#This Row],[Cereals and products]:[Food and beverages]])</f>
        <v>2175.5</v>
      </c>
      <c r="AG316">
        <f>SUM(Table2[[#This Row],[Housing]:[Household goods and services]],Table2[[#This Row],[Transport and communication]],Table2[[#This Row],[Education]])</f>
        <v>805.79999999999984</v>
      </c>
      <c r="AH316">
        <f>SUM(Table2[[#This Row],[Clothing]:[Clothing and footwear]])</f>
        <v>486.3</v>
      </c>
      <c r="AI316">
        <f>SUM(Table2[[#This Row],[Pan, tobacco and intoxicants]],Table2[[#This Row],[Recreation and amusement]],Table2[[#This Row],[Personal care and effects]])</f>
        <v>512.09999999999991</v>
      </c>
    </row>
    <row r="317" spans="1:35" x14ac:dyDescent="0.25">
      <c r="A317" t="s">
        <v>30</v>
      </c>
      <c r="B317">
        <v>2021</v>
      </c>
      <c r="C317" t="s">
        <v>53</v>
      </c>
      <c r="D317" s="2">
        <v>44501</v>
      </c>
      <c r="E317">
        <v>146.9</v>
      </c>
      <c r="F317">
        <v>199.8</v>
      </c>
      <c r="G317">
        <v>171.5</v>
      </c>
      <c r="H317">
        <v>159.1</v>
      </c>
      <c r="I317">
        <v>198.4</v>
      </c>
      <c r="J317">
        <v>153.19999999999999</v>
      </c>
      <c r="K317">
        <v>183.9</v>
      </c>
      <c r="L317">
        <v>165.4</v>
      </c>
      <c r="M317">
        <v>122.1</v>
      </c>
      <c r="N317">
        <v>170.8</v>
      </c>
      <c r="O317">
        <v>169.1</v>
      </c>
      <c r="P317">
        <v>174.3</v>
      </c>
      <c r="Q317">
        <v>167.5</v>
      </c>
      <c r="R317">
        <v>191.4</v>
      </c>
      <c r="S317">
        <v>170.4</v>
      </c>
      <c r="T317">
        <v>166</v>
      </c>
      <c r="U317">
        <v>169.8</v>
      </c>
      <c r="V317">
        <v>164.2</v>
      </c>
      <c r="W317">
        <v>165.3</v>
      </c>
      <c r="X317">
        <v>162.9</v>
      </c>
      <c r="Y317">
        <v>173.4</v>
      </c>
      <c r="Z317">
        <v>158.9</v>
      </c>
      <c r="AA317">
        <v>163.80000000000001</v>
      </c>
      <c r="AB317">
        <v>169.3</v>
      </c>
      <c r="AC317">
        <v>162.4</v>
      </c>
      <c r="AD317">
        <v>165.2</v>
      </c>
      <c r="AE317">
        <v>167.6</v>
      </c>
      <c r="AF317">
        <f>SUM(Table2[[#This Row],[Cereals and products]:[Food and beverages]])</f>
        <v>2182</v>
      </c>
      <c r="AG317">
        <f>SUM(Table2[[#This Row],[Housing]:[Household goods and services]],Table2[[#This Row],[Transport and communication]],Table2[[#This Row],[Education]])</f>
        <v>820.59999999999991</v>
      </c>
      <c r="AH317">
        <f>SUM(Table2[[#This Row],[Clothing]:[Clothing and footwear]])</f>
        <v>506.2</v>
      </c>
      <c r="AI317">
        <f>SUM(Table2[[#This Row],[Pan, tobacco and intoxicants]],Table2[[#This Row],[Recreation and amusement]],Table2[[#This Row],[Personal care and effects]])</f>
        <v>517.6</v>
      </c>
    </row>
    <row r="318" spans="1:35" x14ac:dyDescent="0.25">
      <c r="A318" t="s">
        <v>33</v>
      </c>
      <c r="B318">
        <v>2021</v>
      </c>
      <c r="C318" t="s">
        <v>53</v>
      </c>
      <c r="D318" s="2">
        <v>44501</v>
      </c>
      <c r="E318">
        <v>151</v>
      </c>
      <c r="F318">
        <v>204.9</v>
      </c>
      <c r="G318">
        <v>175.4</v>
      </c>
      <c r="H318">
        <v>159.6</v>
      </c>
      <c r="I318">
        <v>175.8</v>
      </c>
      <c r="J318">
        <v>160.30000000000001</v>
      </c>
      <c r="K318">
        <v>229.1</v>
      </c>
      <c r="L318">
        <v>165.1</v>
      </c>
      <c r="M318">
        <v>123.1</v>
      </c>
      <c r="N318">
        <v>167.2</v>
      </c>
      <c r="O318">
        <v>156.1</v>
      </c>
      <c r="P318">
        <v>176.8</v>
      </c>
      <c r="Q318">
        <v>173.5</v>
      </c>
      <c r="R318">
        <v>197</v>
      </c>
      <c r="S318">
        <v>162.30000000000001</v>
      </c>
      <c r="T318">
        <v>145.30000000000001</v>
      </c>
      <c r="U318">
        <v>159.69999999999999</v>
      </c>
      <c r="V318">
        <v>164.2</v>
      </c>
      <c r="W318">
        <v>161.6</v>
      </c>
      <c r="X318">
        <v>155.19999999999999</v>
      </c>
      <c r="Y318">
        <v>164.2</v>
      </c>
      <c r="Z318">
        <v>151.19999999999999</v>
      </c>
      <c r="AA318">
        <v>156.69999999999999</v>
      </c>
      <c r="AB318">
        <v>160.80000000000001</v>
      </c>
      <c r="AC318">
        <v>161.80000000000001</v>
      </c>
      <c r="AD318">
        <v>157.30000000000001</v>
      </c>
      <c r="AE318">
        <v>165.6</v>
      </c>
      <c r="AF318">
        <f>SUM(Table2[[#This Row],[Cereals and products]:[Food and beverages]])</f>
        <v>2217.8999999999996</v>
      </c>
      <c r="AG318">
        <f>SUM(Table2[[#This Row],[Housing]:[Household goods and services]],Table2[[#This Row],[Transport and communication]],Table2[[#This Row],[Education]])</f>
        <v>793</v>
      </c>
      <c r="AH318">
        <f>SUM(Table2[[#This Row],[Clothing]:[Clothing and footwear]])</f>
        <v>467.3</v>
      </c>
      <c r="AI318">
        <f>SUM(Table2[[#This Row],[Pan, tobacco and intoxicants]],Table2[[#This Row],[Recreation and amusement]],Table2[[#This Row],[Personal care and effects]])</f>
        <v>515.5</v>
      </c>
    </row>
    <row r="319" spans="1:35" x14ac:dyDescent="0.25">
      <c r="A319" t="s">
        <v>35</v>
      </c>
      <c r="B319">
        <v>2021</v>
      </c>
      <c r="C319" t="s">
        <v>53</v>
      </c>
      <c r="D319" s="2">
        <v>44501</v>
      </c>
      <c r="E319">
        <v>148.19999999999999</v>
      </c>
      <c r="F319">
        <v>201.6</v>
      </c>
      <c r="G319">
        <v>173</v>
      </c>
      <c r="H319">
        <v>159.30000000000001</v>
      </c>
      <c r="I319">
        <v>190.1</v>
      </c>
      <c r="J319">
        <v>156.5</v>
      </c>
      <c r="K319">
        <v>199.2</v>
      </c>
      <c r="L319">
        <v>165.3</v>
      </c>
      <c r="M319">
        <v>122.4</v>
      </c>
      <c r="N319">
        <v>169.6</v>
      </c>
      <c r="O319">
        <v>163.69999999999999</v>
      </c>
      <c r="P319">
        <v>175.5</v>
      </c>
      <c r="Q319">
        <v>169.7</v>
      </c>
      <c r="R319">
        <v>192.9</v>
      </c>
      <c r="S319">
        <v>167.2</v>
      </c>
      <c r="T319">
        <v>157.4</v>
      </c>
      <c r="U319">
        <v>165.8</v>
      </c>
      <c r="V319">
        <v>164.2</v>
      </c>
      <c r="W319">
        <v>163.9</v>
      </c>
      <c r="X319">
        <v>159.30000000000001</v>
      </c>
      <c r="Y319">
        <v>169.9</v>
      </c>
      <c r="Z319">
        <v>154.80000000000001</v>
      </c>
      <c r="AA319">
        <v>159.80000000000001</v>
      </c>
      <c r="AB319">
        <v>164.3</v>
      </c>
      <c r="AC319">
        <v>162.19999999999999</v>
      </c>
      <c r="AD319">
        <v>161.4</v>
      </c>
      <c r="AE319">
        <v>166.7</v>
      </c>
      <c r="AF319">
        <f>SUM(Table2[[#This Row],[Cereals and products]:[Food and beverages]])</f>
        <v>2194.1</v>
      </c>
      <c r="AG319">
        <f>SUM(Table2[[#This Row],[Housing]:[Household goods and services]],Table2[[#This Row],[Transport and communication]],Table2[[#This Row],[Education]])</f>
        <v>806.5</v>
      </c>
      <c r="AH319">
        <f>SUM(Table2[[#This Row],[Clothing]:[Clothing and footwear]])</f>
        <v>490.40000000000003</v>
      </c>
      <c r="AI319">
        <f>SUM(Table2[[#This Row],[Pan, tobacco and intoxicants]],Table2[[#This Row],[Recreation and amusement]],Table2[[#This Row],[Personal care and effects]])</f>
        <v>514.90000000000009</v>
      </c>
    </row>
    <row r="320" spans="1:35" x14ac:dyDescent="0.25">
      <c r="A320" t="s">
        <v>30</v>
      </c>
      <c r="B320">
        <v>2021</v>
      </c>
      <c r="C320" t="s">
        <v>55</v>
      </c>
      <c r="D320" s="2">
        <v>44531</v>
      </c>
      <c r="E320">
        <v>147.4</v>
      </c>
      <c r="F320">
        <v>197</v>
      </c>
      <c r="G320">
        <v>176.5</v>
      </c>
      <c r="H320">
        <v>159.80000000000001</v>
      </c>
      <c r="I320">
        <v>195.8</v>
      </c>
      <c r="J320">
        <v>152</v>
      </c>
      <c r="K320">
        <v>172.3</v>
      </c>
      <c r="L320">
        <v>164.5</v>
      </c>
      <c r="M320">
        <v>120.6</v>
      </c>
      <c r="N320">
        <v>171.7</v>
      </c>
      <c r="O320">
        <v>169.7</v>
      </c>
      <c r="P320">
        <v>175.1</v>
      </c>
      <c r="Q320">
        <v>165.8</v>
      </c>
      <c r="R320">
        <v>190.8</v>
      </c>
      <c r="S320">
        <v>171.8</v>
      </c>
      <c r="T320">
        <v>167.3</v>
      </c>
      <c r="U320">
        <v>171.2</v>
      </c>
      <c r="V320">
        <v>163.4</v>
      </c>
      <c r="W320">
        <v>165.6</v>
      </c>
      <c r="X320">
        <v>163.9</v>
      </c>
      <c r="Y320">
        <v>174</v>
      </c>
      <c r="Z320">
        <v>160.1</v>
      </c>
      <c r="AA320">
        <v>164.5</v>
      </c>
      <c r="AB320">
        <v>169.7</v>
      </c>
      <c r="AC320">
        <v>162.80000000000001</v>
      </c>
      <c r="AD320">
        <v>166</v>
      </c>
      <c r="AE320">
        <v>167</v>
      </c>
      <c r="AF320">
        <f>SUM(Table2[[#This Row],[Cereals and products]:[Food and beverages]])</f>
        <v>2168.1999999999998</v>
      </c>
      <c r="AG320">
        <f>SUM(Table2[[#This Row],[Housing]:[Household goods and services]],Table2[[#This Row],[Transport and communication]],Table2[[#This Row],[Education]])</f>
        <v>822.7</v>
      </c>
      <c r="AH320">
        <f>SUM(Table2[[#This Row],[Clothing]:[Clothing and footwear]])</f>
        <v>510.3</v>
      </c>
      <c r="AI320">
        <f>SUM(Table2[[#This Row],[Pan, tobacco and intoxicants]],Table2[[#This Row],[Recreation and amusement]],Table2[[#This Row],[Personal care and effects]])</f>
        <v>518.1</v>
      </c>
    </row>
    <row r="321" spans="1:35" x14ac:dyDescent="0.25">
      <c r="A321" t="s">
        <v>33</v>
      </c>
      <c r="B321">
        <v>2021</v>
      </c>
      <c r="C321" t="s">
        <v>55</v>
      </c>
      <c r="D321" s="2">
        <v>44531</v>
      </c>
      <c r="E321">
        <v>151.6</v>
      </c>
      <c r="F321">
        <v>202.2</v>
      </c>
      <c r="G321">
        <v>180</v>
      </c>
      <c r="H321">
        <v>160</v>
      </c>
      <c r="I321">
        <v>173.5</v>
      </c>
      <c r="J321">
        <v>158.30000000000001</v>
      </c>
      <c r="K321">
        <v>219.5</v>
      </c>
      <c r="L321">
        <v>164.2</v>
      </c>
      <c r="M321">
        <v>121.9</v>
      </c>
      <c r="N321">
        <v>168.2</v>
      </c>
      <c r="O321">
        <v>156.5</v>
      </c>
      <c r="P321">
        <v>178.2</v>
      </c>
      <c r="Q321">
        <v>172.2</v>
      </c>
      <c r="R321">
        <v>196.8</v>
      </c>
      <c r="S321">
        <v>163.30000000000001</v>
      </c>
      <c r="T321">
        <v>146.69999999999999</v>
      </c>
      <c r="U321">
        <v>160.69999999999999</v>
      </c>
      <c r="V321">
        <v>163.4</v>
      </c>
      <c r="W321">
        <v>161.69999999999999</v>
      </c>
      <c r="X321">
        <v>156</v>
      </c>
      <c r="Y321">
        <v>165.1</v>
      </c>
      <c r="Z321">
        <v>151.80000000000001</v>
      </c>
      <c r="AA321">
        <v>157.6</v>
      </c>
      <c r="AB321">
        <v>160.6</v>
      </c>
      <c r="AC321">
        <v>162.4</v>
      </c>
      <c r="AD321">
        <v>157.80000000000001</v>
      </c>
      <c r="AE321">
        <v>165.2</v>
      </c>
      <c r="AF321">
        <f>SUM(Table2[[#This Row],[Cereals and products]:[Food and beverages]])</f>
        <v>2206.3000000000002</v>
      </c>
      <c r="AG321">
        <f>SUM(Table2[[#This Row],[Housing]:[Household goods and services]],Table2[[#This Row],[Transport and communication]],Table2[[#This Row],[Education]])</f>
        <v>793.50000000000011</v>
      </c>
      <c r="AH321">
        <f>SUM(Table2[[#This Row],[Clothing]:[Clothing and footwear]])</f>
        <v>470.7</v>
      </c>
      <c r="AI321">
        <f>SUM(Table2[[#This Row],[Pan, tobacco and intoxicants]],Table2[[#This Row],[Recreation and amusement]],Table2[[#This Row],[Personal care and effects]])</f>
        <v>516.79999999999995</v>
      </c>
    </row>
    <row r="322" spans="1:35" x14ac:dyDescent="0.25">
      <c r="A322" t="s">
        <v>35</v>
      </c>
      <c r="B322">
        <v>2021</v>
      </c>
      <c r="C322" t="s">
        <v>55</v>
      </c>
      <c r="D322" s="2">
        <v>44531</v>
      </c>
      <c r="E322">
        <v>148.69999999999999</v>
      </c>
      <c r="F322">
        <v>198.8</v>
      </c>
      <c r="G322">
        <v>177.9</v>
      </c>
      <c r="H322">
        <v>159.9</v>
      </c>
      <c r="I322">
        <v>187.6</v>
      </c>
      <c r="J322">
        <v>154.9</v>
      </c>
      <c r="K322">
        <v>188.3</v>
      </c>
      <c r="L322">
        <v>164.4</v>
      </c>
      <c r="M322">
        <v>121</v>
      </c>
      <c r="N322">
        <v>170.5</v>
      </c>
      <c r="O322">
        <v>164.2</v>
      </c>
      <c r="P322">
        <v>176.5</v>
      </c>
      <c r="Q322">
        <v>168.2</v>
      </c>
      <c r="R322">
        <v>192.4</v>
      </c>
      <c r="S322">
        <v>168.5</v>
      </c>
      <c r="T322">
        <v>158.69999999999999</v>
      </c>
      <c r="U322">
        <v>167</v>
      </c>
      <c r="V322">
        <v>163.4</v>
      </c>
      <c r="W322">
        <v>164.1</v>
      </c>
      <c r="X322">
        <v>160.19999999999999</v>
      </c>
      <c r="Y322">
        <v>170.6</v>
      </c>
      <c r="Z322">
        <v>155.69999999999999</v>
      </c>
      <c r="AA322">
        <v>160.6</v>
      </c>
      <c r="AB322">
        <v>164.4</v>
      </c>
      <c r="AC322">
        <v>162.6</v>
      </c>
      <c r="AD322">
        <v>162</v>
      </c>
      <c r="AE322">
        <v>166.2</v>
      </c>
      <c r="AF322">
        <f>SUM(Table2[[#This Row],[Cereals and products]:[Food and beverages]])</f>
        <v>2180.9</v>
      </c>
      <c r="AG322">
        <f>SUM(Table2[[#This Row],[Housing]:[Household goods and services]],Table2[[#This Row],[Transport and communication]],Table2[[#This Row],[Education]])</f>
        <v>807.8</v>
      </c>
      <c r="AH322">
        <f>SUM(Table2[[#This Row],[Clothing]:[Clothing and footwear]])</f>
        <v>494.2</v>
      </c>
      <c r="AI322">
        <f>SUM(Table2[[#This Row],[Pan, tobacco and intoxicants]],Table2[[#This Row],[Recreation and amusement]],Table2[[#This Row],[Personal care and effects]])</f>
        <v>515.6</v>
      </c>
    </row>
    <row r="323" spans="1:35" x14ac:dyDescent="0.25">
      <c r="A323" t="s">
        <v>30</v>
      </c>
      <c r="B323">
        <v>2022</v>
      </c>
      <c r="C323" t="s">
        <v>31</v>
      </c>
      <c r="D323" s="2">
        <v>44562</v>
      </c>
      <c r="E323">
        <v>148.30000000000001</v>
      </c>
      <c r="F323">
        <v>196.9</v>
      </c>
      <c r="G323">
        <v>178</v>
      </c>
      <c r="H323">
        <v>160.5</v>
      </c>
      <c r="I323">
        <v>192.6</v>
      </c>
      <c r="J323">
        <v>151.19999999999999</v>
      </c>
      <c r="K323">
        <v>159.19999999999999</v>
      </c>
      <c r="L323">
        <v>164</v>
      </c>
      <c r="M323">
        <v>119.3</v>
      </c>
      <c r="N323">
        <v>173.3</v>
      </c>
      <c r="O323">
        <v>169.8</v>
      </c>
      <c r="P323">
        <v>175.8</v>
      </c>
      <c r="Q323">
        <v>164.1</v>
      </c>
      <c r="R323">
        <v>190.7</v>
      </c>
      <c r="S323">
        <v>173.2</v>
      </c>
      <c r="T323">
        <v>169.3</v>
      </c>
      <c r="U323">
        <v>172.7</v>
      </c>
      <c r="V323">
        <v>164.5</v>
      </c>
      <c r="W323">
        <v>165.8</v>
      </c>
      <c r="X323">
        <v>164.9</v>
      </c>
      <c r="Y323">
        <v>174.7</v>
      </c>
      <c r="Z323">
        <v>160.80000000000001</v>
      </c>
      <c r="AA323">
        <v>164.9</v>
      </c>
      <c r="AB323">
        <v>169.9</v>
      </c>
      <c r="AC323">
        <v>163.19999999999999</v>
      </c>
      <c r="AD323">
        <v>166.6</v>
      </c>
      <c r="AE323">
        <v>166.4</v>
      </c>
      <c r="AF323">
        <f>SUM(Table2[[#This Row],[Cereals and products]:[Food and beverages]])</f>
        <v>2153</v>
      </c>
      <c r="AG323">
        <f>SUM(Table2[[#This Row],[Housing]:[Household goods and services]],Table2[[#This Row],[Transport and communication]],Table2[[#This Row],[Education]])</f>
        <v>825.9</v>
      </c>
      <c r="AH323">
        <f>SUM(Table2[[#This Row],[Clothing]:[Clothing and footwear]])</f>
        <v>515.20000000000005</v>
      </c>
      <c r="AI323">
        <f>SUM(Table2[[#This Row],[Pan, tobacco and intoxicants]],Table2[[#This Row],[Recreation and amusement]],Table2[[#This Row],[Personal care and effects]])</f>
        <v>518.79999999999995</v>
      </c>
    </row>
    <row r="324" spans="1:35" x14ac:dyDescent="0.25">
      <c r="A324" t="s">
        <v>33</v>
      </c>
      <c r="B324">
        <v>2022</v>
      </c>
      <c r="C324" t="s">
        <v>31</v>
      </c>
      <c r="D324" s="2">
        <v>44562</v>
      </c>
      <c r="E324">
        <v>152.19999999999999</v>
      </c>
      <c r="F324">
        <v>202.1</v>
      </c>
      <c r="G324">
        <v>180.1</v>
      </c>
      <c r="H324">
        <v>160.4</v>
      </c>
      <c r="I324">
        <v>171</v>
      </c>
      <c r="J324">
        <v>156.5</v>
      </c>
      <c r="K324">
        <v>203.6</v>
      </c>
      <c r="L324">
        <v>163.80000000000001</v>
      </c>
      <c r="M324">
        <v>121.3</v>
      </c>
      <c r="N324">
        <v>169.8</v>
      </c>
      <c r="O324">
        <v>156.6</v>
      </c>
      <c r="P324">
        <v>179</v>
      </c>
      <c r="Q324">
        <v>170.3</v>
      </c>
      <c r="R324">
        <v>196.4</v>
      </c>
      <c r="S324">
        <v>164.7</v>
      </c>
      <c r="T324">
        <v>148.5</v>
      </c>
      <c r="U324">
        <v>162.19999999999999</v>
      </c>
      <c r="V324">
        <v>164.5</v>
      </c>
      <c r="W324">
        <v>161.6</v>
      </c>
      <c r="X324">
        <v>156.80000000000001</v>
      </c>
      <c r="Y324">
        <v>166.1</v>
      </c>
      <c r="Z324">
        <v>152.69999999999999</v>
      </c>
      <c r="AA324">
        <v>158.4</v>
      </c>
      <c r="AB324">
        <v>161</v>
      </c>
      <c r="AC324">
        <v>162.80000000000001</v>
      </c>
      <c r="AD324">
        <v>158.6</v>
      </c>
      <c r="AE324">
        <v>165</v>
      </c>
      <c r="AF324">
        <f>SUM(Table2[[#This Row],[Cereals and products]:[Food and beverages]])</f>
        <v>2186.6999999999998</v>
      </c>
      <c r="AG324">
        <f>SUM(Table2[[#This Row],[Housing]:[Household goods and services]],Table2[[#This Row],[Transport and communication]],Table2[[#This Row],[Education]])</f>
        <v>796.6</v>
      </c>
      <c r="AH324">
        <f>SUM(Table2[[#This Row],[Clothing]:[Clothing and footwear]])</f>
        <v>475.4</v>
      </c>
      <c r="AI324">
        <f>SUM(Table2[[#This Row],[Pan, tobacco and intoxicants]],Table2[[#This Row],[Recreation and amusement]],Table2[[#This Row],[Personal care and effects]])</f>
        <v>517.6</v>
      </c>
    </row>
    <row r="325" spans="1:35" x14ac:dyDescent="0.25">
      <c r="A325" t="s">
        <v>35</v>
      </c>
      <c r="B325">
        <v>2022</v>
      </c>
      <c r="C325" t="s">
        <v>31</v>
      </c>
      <c r="D325" s="2">
        <v>44562</v>
      </c>
      <c r="E325">
        <v>149.5</v>
      </c>
      <c r="F325">
        <v>198.7</v>
      </c>
      <c r="G325">
        <v>178.8</v>
      </c>
      <c r="H325">
        <v>160.5</v>
      </c>
      <c r="I325">
        <v>184.7</v>
      </c>
      <c r="J325">
        <v>153.69999999999999</v>
      </c>
      <c r="K325">
        <v>174.3</v>
      </c>
      <c r="L325">
        <v>163.9</v>
      </c>
      <c r="M325">
        <v>120</v>
      </c>
      <c r="N325">
        <v>172.1</v>
      </c>
      <c r="O325">
        <v>164.3</v>
      </c>
      <c r="P325">
        <v>177.3</v>
      </c>
      <c r="Q325">
        <v>166.4</v>
      </c>
      <c r="R325">
        <v>192.2</v>
      </c>
      <c r="S325">
        <v>169.9</v>
      </c>
      <c r="T325">
        <v>160.69999999999999</v>
      </c>
      <c r="U325">
        <v>168.5</v>
      </c>
      <c r="V325">
        <v>164.5</v>
      </c>
      <c r="W325">
        <v>164.2</v>
      </c>
      <c r="X325">
        <v>161.1</v>
      </c>
      <c r="Y325">
        <v>171.4</v>
      </c>
      <c r="Z325">
        <v>156.5</v>
      </c>
      <c r="AA325">
        <v>161.19999999999999</v>
      </c>
      <c r="AB325">
        <v>164.7</v>
      </c>
      <c r="AC325">
        <v>163</v>
      </c>
      <c r="AD325">
        <v>162.69999999999999</v>
      </c>
      <c r="AE325">
        <v>165.7</v>
      </c>
      <c r="AF325">
        <f>SUM(Table2[[#This Row],[Cereals and products]:[Food and beverages]])</f>
        <v>2164.1999999999998</v>
      </c>
      <c r="AG325">
        <f>SUM(Table2[[#This Row],[Housing]:[Household goods and services]],Table2[[#This Row],[Transport and communication]],Table2[[#This Row],[Education]])</f>
        <v>811</v>
      </c>
      <c r="AH325">
        <f>SUM(Table2[[#This Row],[Clothing]:[Clothing and footwear]])</f>
        <v>499.1</v>
      </c>
      <c r="AI325">
        <f>SUM(Table2[[#This Row],[Pan, tobacco and intoxicants]],Table2[[#This Row],[Recreation and amusement]],Table2[[#This Row],[Personal care and effects]])</f>
        <v>516.4</v>
      </c>
    </row>
    <row r="326" spans="1:35" x14ac:dyDescent="0.25">
      <c r="A326" t="s">
        <v>30</v>
      </c>
      <c r="B326">
        <v>2022</v>
      </c>
      <c r="C326" t="s">
        <v>36</v>
      </c>
      <c r="D326" s="2">
        <v>44593</v>
      </c>
      <c r="E326">
        <v>148.80000000000001</v>
      </c>
      <c r="F326">
        <v>198.1</v>
      </c>
      <c r="G326">
        <v>175.5</v>
      </c>
      <c r="H326">
        <v>160.69999999999999</v>
      </c>
      <c r="I326">
        <v>192.6</v>
      </c>
      <c r="J326">
        <v>151.4</v>
      </c>
      <c r="K326">
        <v>155.19999999999999</v>
      </c>
      <c r="L326">
        <v>163.9</v>
      </c>
      <c r="M326">
        <v>118.1</v>
      </c>
      <c r="N326">
        <v>175.4</v>
      </c>
      <c r="O326">
        <v>170.5</v>
      </c>
      <c r="P326">
        <v>176.3</v>
      </c>
      <c r="Q326">
        <v>163.9</v>
      </c>
      <c r="R326">
        <v>191.5</v>
      </c>
      <c r="S326">
        <v>174.1</v>
      </c>
      <c r="T326">
        <v>171</v>
      </c>
      <c r="U326">
        <v>173.7</v>
      </c>
      <c r="V326">
        <v>165.5</v>
      </c>
      <c r="W326">
        <v>167.4</v>
      </c>
      <c r="X326">
        <v>165.7</v>
      </c>
      <c r="Y326">
        <v>175.3</v>
      </c>
      <c r="Z326">
        <v>161.19999999999999</v>
      </c>
      <c r="AA326">
        <v>165.5</v>
      </c>
      <c r="AB326">
        <v>170.3</v>
      </c>
      <c r="AC326">
        <v>164.5</v>
      </c>
      <c r="AD326">
        <v>167.3</v>
      </c>
      <c r="AE326">
        <v>166.7</v>
      </c>
      <c r="AF326">
        <f>SUM(Table2[[#This Row],[Cereals and products]:[Food and beverages]])</f>
        <v>2150.4</v>
      </c>
      <c r="AG326">
        <f>SUM(Table2[[#This Row],[Housing]:[Household goods and services]],Table2[[#This Row],[Transport and communication]],Table2[[#This Row],[Education]])</f>
        <v>830.09999999999991</v>
      </c>
      <c r="AH326">
        <f>SUM(Table2[[#This Row],[Clothing]:[Clothing and footwear]])</f>
        <v>518.79999999999995</v>
      </c>
      <c r="AI326">
        <f>SUM(Table2[[#This Row],[Pan, tobacco and intoxicants]],Table2[[#This Row],[Recreation and amusement]],Table2[[#This Row],[Personal care and effects]])</f>
        <v>521.5</v>
      </c>
    </row>
    <row r="327" spans="1:35" x14ac:dyDescent="0.25">
      <c r="A327" t="s">
        <v>33</v>
      </c>
      <c r="B327">
        <v>2022</v>
      </c>
      <c r="C327" t="s">
        <v>36</v>
      </c>
      <c r="D327" s="2">
        <v>44593</v>
      </c>
      <c r="E327">
        <v>152.5</v>
      </c>
      <c r="F327">
        <v>205.2</v>
      </c>
      <c r="G327">
        <v>176.4</v>
      </c>
      <c r="H327">
        <v>160.6</v>
      </c>
      <c r="I327">
        <v>171.5</v>
      </c>
      <c r="J327">
        <v>156.4</v>
      </c>
      <c r="K327">
        <v>198</v>
      </c>
      <c r="L327">
        <v>163.19999999999999</v>
      </c>
      <c r="M327">
        <v>120.6</v>
      </c>
      <c r="N327">
        <v>172.2</v>
      </c>
      <c r="O327">
        <v>156.69999999999999</v>
      </c>
      <c r="P327">
        <v>180</v>
      </c>
      <c r="Q327">
        <v>170.2</v>
      </c>
      <c r="R327">
        <v>196.5</v>
      </c>
      <c r="S327">
        <v>165.7</v>
      </c>
      <c r="T327">
        <v>150.4</v>
      </c>
      <c r="U327">
        <v>163.4</v>
      </c>
      <c r="V327">
        <v>165.5</v>
      </c>
      <c r="W327">
        <v>163</v>
      </c>
      <c r="X327">
        <v>157.4</v>
      </c>
      <c r="Y327">
        <v>167.2</v>
      </c>
      <c r="Z327">
        <v>153.1</v>
      </c>
      <c r="AA327">
        <v>159.5</v>
      </c>
      <c r="AB327">
        <v>162</v>
      </c>
      <c r="AC327">
        <v>164.2</v>
      </c>
      <c r="AD327">
        <v>159.4</v>
      </c>
      <c r="AE327">
        <v>165.5</v>
      </c>
      <c r="AF327">
        <f>SUM(Table2[[#This Row],[Cereals and products]:[Food and beverages]])</f>
        <v>2183.5</v>
      </c>
      <c r="AG327">
        <f>SUM(Table2[[#This Row],[Housing]:[Household goods and services]],Table2[[#This Row],[Transport and communication]],Table2[[#This Row],[Education]])</f>
        <v>801</v>
      </c>
      <c r="AH327">
        <f>SUM(Table2[[#This Row],[Clothing]:[Clothing and footwear]])</f>
        <v>479.5</v>
      </c>
      <c r="AI327">
        <f>SUM(Table2[[#This Row],[Pan, tobacco and intoxicants]],Table2[[#This Row],[Recreation and amusement]],Table2[[#This Row],[Personal care and effects]])</f>
        <v>520.20000000000005</v>
      </c>
    </row>
    <row r="328" spans="1:35" x14ac:dyDescent="0.25">
      <c r="A328" t="s">
        <v>35</v>
      </c>
      <c r="B328">
        <v>2022</v>
      </c>
      <c r="C328" t="s">
        <v>36</v>
      </c>
      <c r="D328" s="2">
        <v>44593</v>
      </c>
      <c r="E328">
        <v>150</v>
      </c>
      <c r="F328">
        <v>200.6</v>
      </c>
      <c r="G328">
        <v>175.8</v>
      </c>
      <c r="H328">
        <v>160.69999999999999</v>
      </c>
      <c r="I328">
        <v>184.9</v>
      </c>
      <c r="J328">
        <v>153.69999999999999</v>
      </c>
      <c r="K328">
        <v>169.7</v>
      </c>
      <c r="L328">
        <v>163.69999999999999</v>
      </c>
      <c r="M328">
        <v>118.9</v>
      </c>
      <c r="N328">
        <v>174.3</v>
      </c>
      <c r="O328">
        <v>164.7</v>
      </c>
      <c r="P328">
        <v>178</v>
      </c>
      <c r="Q328">
        <v>166.2</v>
      </c>
      <c r="R328">
        <v>192.8</v>
      </c>
      <c r="S328">
        <v>170.8</v>
      </c>
      <c r="T328">
        <v>162.4</v>
      </c>
      <c r="U328">
        <v>169.6</v>
      </c>
      <c r="V328">
        <v>165.5</v>
      </c>
      <c r="W328">
        <v>165.7</v>
      </c>
      <c r="X328">
        <v>161.80000000000001</v>
      </c>
      <c r="Y328">
        <v>172.2</v>
      </c>
      <c r="Z328">
        <v>156.9</v>
      </c>
      <c r="AA328">
        <v>162.1</v>
      </c>
      <c r="AB328">
        <v>165.4</v>
      </c>
      <c r="AC328">
        <v>164.4</v>
      </c>
      <c r="AD328">
        <v>163.5</v>
      </c>
      <c r="AE328">
        <v>166.1</v>
      </c>
      <c r="AF328">
        <f>SUM(Table2[[#This Row],[Cereals and products]:[Food and beverages]])</f>
        <v>2161.2000000000003</v>
      </c>
      <c r="AG328">
        <f>SUM(Table2[[#This Row],[Housing]:[Household goods and services]],Table2[[#This Row],[Transport and communication]],Table2[[#This Row],[Education]])</f>
        <v>815.3</v>
      </c>
      <c r="AH328">
        <f>SUM(Table2[[#This Row],[Clothing]:[Clothing and footwear]])</f>
        <v>502.80000000000007</v>
      </c>
      <c r="AI328">
        <f>SUM(Table2[[#This Row],[Pan, tobacco and intoxicants]],Table2[[#This Row],[Recreation and amusement]],Table2[[#This Row],[Personal care and effects]])</f>
        <v>519.29999999999995</v>
      </c>
    </row>
    <row r="329" spans="1:35" x14ac:dyDescent="0.25">
      <c r="A329" t="s">
        <v>30</v>
      </c>
      <c r="B329">
        <v>2022</v>
      </c>
      <c r="C329" t="s">
        <v>38</v>
      </c>
      <c r="D329" s="2">
        <v>44621</v>
      </c>
      <c r="E329">
        <v>150.19999999999999</v>
      </c>
      <c r="F329">
        <v>208</v>
      </c>
      <c r="G329">
        <v>167.9</v>
      </c>
      <c r="H329">
        <v>162</v>
      </c>
      <c r="I329">
        <v>203.1</v>
      </c>
      <c r="J329">
        <v>155.9</v>
      </c>
      <c r="K329">
        <v>155.80000000000001</v>
      </c>
      <c r="L329">
        <v>164.2</v>
      </c>
      <c r="M329">
        <v>118.1</v>
      </c>
      <c r="N329">
        <v>178.7</v>
      </c>
      <c r="O329">
        <v>171.2</v>
      </c>
      <c r="P329">
        <v>177.4</v>
      </c>
      <c r="Q329">
        <v>166.6</v>
      </c>
      <c r="R329">
        <v>192.3</v>
      </c>
      <c r="S329">
        <v>175.4</v>
      </c>
      <c r="T329">
        <v>173.2</v>
      </c>
      <c r="U329">
        <v>175.1</v>
      </c>
      <c r="V329">
        <v>165.3</v>
      </c>
      <c r="W329">
        <v>168.9</v>
      </c>
      <c r="X329">
        <v>166.5</v>
      </c>
      <c r="Y329">
        <v>176</v>
      </c>
      <c r="Z329">
        <v>162</v>
      </c>
      <c r="AA329">
        <v>166.6</v>
      </c>
      <c r="AB329">
        <v>170.6</v>
      </c>
      <c r="AC329">
        <v>167.4</v>
      </c>
      <c r="AD329">
        <v>168.3</v>
      </c>
      <c r="AE329">
        <v>168.7</v>
      </c>
      <c r="AF329">
        <f>SUM(Table2[[#This Row],[Cereals and products]:[Food and beverages]])</f>
        <v>2179.1000000000004</v>
      </c>
      <c r="AG329">
        <f>SUM(Table2[[#This Row],[Housing]:[Household goods and services]],Table2[[#This Row],[Transport and communication]],Table2[[#This Row],[Education]])</f>
        <v>833.30000000000007</v>
      </c>
      <c r="AH329">
        <f>SUM(Table2[[#This Row],[Clothing]:[Clothing and footwear]])</f>
        <v>523.70000000000005</v>
      </c>
      <c r="AI329">
        <f>SUM(Table2[[#This Row],[Pan, tobacco and intoxicants]],Table2[[#This Row],[Recreation and amusement]],Table2[[#This Row],[Personal care and effects]])</f>
        <v>526.29999999999995</v>
      </c>
    </row>
    <row r="330" spans="1:35" x14ac:dyDescent="0.25">
      <c r="A330" t="s">
        <v>33</v>
      </c>
      <c r="B330">
        <v>2022</v>
      </c>
      <c r="C330" t="s">
        <v>38</v>
      </c>
      <c r="D330" s="2">
        <v>44621</v>
      </c>
      <c r="E330">
        <v>153.69999999999999</v>
      </c>
      <c r="F330">
        <v>215.8</v>
      </c>
      <c r="G330">
        <v>167.7</v>
      </c>
      <c r="H330">
        <v>162.6</v>
      </c>
      <c r="I330">
        <v>180</v>
      </c>
      <c r="J330">
        <v>159.6</v>
      </c>
      <c r="K330">
        <v>188.4</v>
      </c>
      <c r="L330">
        <v>163.4</v>
      </c>
      <c r="M330">
        <v>120.3</v>
      </c>
      <c r="N330">
        <v>174.7</v>
      </c>
      <c r="O330">
        <v>157.1</v>
      </c>
      <c r="P330">
        <v>181.5</v>
      </c>
      <c r="Q330">
        <v>171.5</v>
      </c>
      <c r="R330">
        <v>197.5</v>
      </c>
      <c r="S330">
        <v>167.1</v>
      </c>
      <c r="T330">
        <v>152.6</v>
      </c>
      <c r="U330">
        <v>164.9</v>
      </c>
      <c r="V330">
        <v>165.3</v>
      </c>
      <c r="W330">
        <v>164.5</v>
      </c>
      <c r="X330">
        <v>158.6</v>
      </c>
      <c r="Y330">
        <v>168.2</v>
      </c>
      <c r="Z330">
        <v>154.19999999999999</v>
      </c>
      <c r="AA330">
        <v>160.80000000000001</v>
      </c>
      <c r="AB330">
        <v>162.69999999999999</v>
      </c>
      <c r="AC330">
        <v>166.8</v>
      </c>
      <c r="AD330">
        <v>160.6</v>
      </c>
      <c r="AE330">
        <v>166.5</v>
      </c>
      <c r="AF330">
        <f>SUM(Table2[[#This Row],[Cereals and products]:[Food and beverages]])</f>
        <v>2196.3000000000002</v>
      </c>
      <c r="AG330">
        <f>SUM(Table2[[#This Row],[Housing]:[Household goods and services]],Table2[[#This Row],[Transport and communication]],Table2[[#This Row],[Education]])</f>
        <v>805.3</v>
      </c>
      <c r="AH330">
        <f>SUM(Table2[[#This Row],[Clothing]:[Clothing and footwear]])</f>
        <v>484.6</v>
      </c>
      <c r="AI330">
        <f>SUM(Table2[[#This Row],[Pan, tobacco and intoxicants]],Table2[[#This Row],[Recreation and amusement]],Table2[[#This Row],[Personal care and effects]])</f>
        <v>525.1</v>
      </c>
    </row>
    <row r="331" spans="1:35" x14ac:dyDescent="0.25">
      <c r="A331" t="s">
        <v>35</v>
      </c>
      <c r="B331">
        <v>2022</v>
      </c>
      <c r="C331" t="s">
        <v>38</v>
      </c>
      <c r="D331" s="2">
        <v>44621</v>
      </c>
      <c r="E331">
        <v>151.30000000000001</v>
      </c>
      <c r="F331">
        <v>210.7</v>
      </c>
      <c r="G331">
        <v>167.8</v>
      </c>
      <c r="H331">
        <v>162.19999999999999</v>
      </c>
      <c r="I331">
        <v>194.6</v>
      </c>
      <c r="J331">
        <v>157.6</v>
      </c>
      <c r="K331">
        <v>166.9</v>
      </c>
      <c r="L331">
        <v>163.9</v>
      </c>
      <c r="M331">
        <v>118.8</v>
      </c>
      <c r="N331">
        <v>177.4</v>
      </c>
      <c r="O331">
        <v>165.3</v>
      </c>
      <c r="P331">
        <v>179.3</v>
      </c>
      <c r="Q331">
        <v>168.4</v>
      </c>
      <c r="R331">
        <v>193.7</v>
      </c>
      <c r="S331">
        <v>172.1</v>
      </c>
      <c r="T331">
        <v>164.6</v>
      </c>
      <c r="U331">
        <v>171.1</v>
      </c>
      <c r="V331">
        <v>165.3</v>
      </c>
      <c r="W331">
        <v>167.2</v>
      </c>
      <c r="X331">
        <v>162.80000000000001</v>
      </c>
      <c r="Y331">
        <v>173</v>
      </c>
      <c r="Z331">
        <v>157.9</v>
      </c>
      <c r="AA331">
        <v>163.30000000000001</v>
      </c>
      <c r="AB331">
        <v>166</v>
      </c>
      <c r="AC331">
        <v>167.2</v>
      </c>
      <c r="AD331">
        <v>164.6</v>
      </c>
      <c r="AE331">
        <v>167.7</v>
      </c>
      <c r="AF331">
        <f>SUM(Table2[[#This Row],[Cereals and products]:[Food and beverages]])</f>
        <v>2184.2000000000003</v>
      </c>
      <c r="AG331">
        <f>SUM(Table2[[#This Row],[Housing]:[Household goods and services]],Table2[[#This Row],[Transport and communication]],Table2[[#This Row],[Education]])</f>
        <v>819.2</v>
      </c>
      <c r="AH331">
        <f>SUM(Table2[[#This Row],[Clothing]:[Clothing and footwear]])</f>
        <v>507.79999999999995</v>
      </c>
      <c r="AI331">
        <f>SUM(Table2[[#This Row],[Pan, tobacco and intoxicants]],Table2[[#This Row],[Recreation and amusement]],Table2[[#This Row],[Personal care and effects]])</f>
        <v>524.20000000000005</v>
      </c>
    </row>
    <row r="332" spans="1:35" x14ac:dyDescent="0.25">
      <c r="A332" t="s">
        <v>30</v>
      </c>
      <c r="B332">
        <v>2022</v>
      </c>
      <c r="C332" t="s">
        <v>39</v>
      </c>
      <c r="D332" s="2">
        <v>44652</v>
      </c>
      <c r="E332">
        <v>151.80000000000001</v>
      </c>
      <c r="F332">
        <v>209.7</v>
      </c>
      <c r="G332">
        <v>164.5</v>
      </c>
      <c r="H332">
        <v>163.80000000000001</v>
      </c>
      <c r="I332">
        <v>207.4</v>
      </c>
      <c r="J332">
        <v>169.7</v>
      </c>
      <c r="K332">
        <v>153.6</v>
      </c>
      <c r="L332">
        <v>165.1</v>
      </c>
      <c r="M332">
        <v>118.2</v>
      </c>
      <c r="N332">
        <v>182.9</v>
      </c>
      <c r="O332">
        <v>172.4</v>
      </c>
      <c r="P332">
        <v>178.9</v>
      </c>
      <c r="Q332">
        <v>168.6</v>
      </c>
      <c r="R332">
        <v>192.8</v>
      </c>
      <c r="S332">
        <v>177.5</v>
      </c>
      <c r="T332">
        <v>175.1</v>
      </c>
      <c r="U332">
        <v>177.1</v>
      </c>
      <c r="V332">
        <v>167</v>
      </c>
      <c r="W332">
        <v>173.3</v>
      </c>
      <c r="X332">
        <v>167.7</v>
      </c>
      <c r="Y332">
        <v>177</v>
      </c>
      <c r="Z332">
        <v>166.2</v>
      </c>
      <c r="AA332">
        <v>167.2</v>
      </c>
      <c r="AB332">
        <v>170.9</v>
      </c>
      <c r="AC332">
        <v>169</v>
      </c>
      <c r="AD332">
        <v>170.2</v>
      </c>
      <c r="AE332">
        <v>170.8</v>
      </c>
      <c r="AF332">
        <f>SUM(Table2[[#This Row],[Cereals and products]:[Food and beverages]])</f>
        <v>2206.6</v>
      </c>
      <c r="AG332">
        <f>SUM(Table2[[#This Row],[Housing]:[Household goods and services]],Table2[[#This Row],[Transport and communication]],Table2[[#This Row],[Education]])</f>
        <v>845.1</v>
      </c>
      <c r="AH332">
        <f>SUM(Table2[[#This Row],[Clothing]:[Clothing and footwear]])</f>
        <v>529.70000000000005</v>
      </c>
      <c r="AI332">
        <f>SUM(Table2[[#This Row],[Pan, tobacco and intoxicants]],Table2[[#This Row],[Recreation and amusement]],Table2[[#This Row],[Personal care and effects]])</f>
        <v>529</v>
      </c>
    </row>
    <row r="333" spans="1:35" x14ac:dyDescent="0.25">
      <c r="A333" t="s">
        <v>33</v>
      </c>
      <c r="B333">
        <v>2022</v>
      </c>
      <c r="C333" t="s">
        <v>39</v>
      </c>
      <c r="D333" s="2">
        <v>44652</v>
      </c>
      <c r="E333">
        <v>155.4</v>
      </c>
      <c r="F333">
        <v>215.8</v>
      </c>
      <c r="G333">
        <v>164.6</v>
      </c>
      <c r="H333">
        <v>164.2</v>
      </c>
      <c r="I333">
        <v>186</v>
      </c>
      <c r="J333">
        <v>175.9</v>
      </c>
      <c r="K333">
        <v>190.7</v>
      </c>
      <c r="L333">
        <v>164</v>
      </c>
      <c r="M333">
        <v>120.5</v>
      </c>
      <c r="N333">
        <v>178</v>
      </c>
      <c r="O333">
        <v>157.5</v>
      </c>
      <c r="P333">
        <v>183.3</v>
      </c>
      <c r="Q333">
        <v>174.5</v>
      </c>
      <c r="R333">
        <v>197.1</v>
      </c>
      <c r="S333">
        <v>168.4</v>
      </c>
      <c r="T333">
        <v>154.5</v>
      </c>
      <c r="U333">
        <v>166.3</v>
      </c>
      <c r="V333">
        <v>167</v>
      </c>
      <c r="W333">
        <v>170.5</v>
      </c>
      <c r="X333">
        <v>159.80000000000001</v>
      </c>
      <c r="Y333">
        <v>169</v>
      </c>
      <c r="Z333">
        <v>159.30000000000001</v>
      </c>
      <c r="AA333">
        <v>162.19999999999999</v>
      </c>
      <c r="AB333">
        <v>164</v>
      </c>
      <c r="AC333">
        <v>168.4</v>
      </c>
      <c r="AD333">
        <v>163.1</v>
      </c>
      <c r="AE333">
        <v>169.2</v>
      </c>
      <c r="AF333">
        <f>SUM(Table2[[#This Row],[Cereals and products]:[Food and beverages]])</f>
        <v>2230.4</v>
      </c>
      <c r="AG333">
        <f>SUM(Table2[[#This Row],[Housing]:[Household goods and services]],Table2[[#This Row],[Transport and communication]],Table2[[#This Row],[Education]])</f>
        <v>820.6</v>
      </c>
      <c r="AH333">
        <f>SUM(Table2[[#This Row],[Clothing]:[Clothing and footwear]])</f>
        <v>489.2</v>
      </c>
      <c r="AI333">
        <f>SUM(Table2[[#This Row],[Pan, tobacco and intoxicants]],Table2[[#This Row],[Recreation and amusement]],Table2[[#This Row],[Personal care and effects]])</f>
        <v>527.69999999999993</v>
      </c>
    </row>
    <row r="334" spans="1:35" x14ac:dyDescent="0.25">
      <c r="A334" t="s">
        <v>35</v>
      </c>
      <c r="B334">
        <v>2022</v>
      </c>
      <c r="C334" t="s">
        <v>39</v>
      </c>
      <c r="D334" s="2">
        <v>44652</v>
      </c>
      <c r="E334">
        <v>152.9</v>
      </c>
      <c r="F334">
        <v>211.8</v>
      </c>
      <c r="G334">
        <v>164.5</v>
      </c>
      <c r="H334">
        <v>163.9</v>
      </c>
      <c r="I334">
        <v>199.5</v>
      </c>
      <c r="J334">
        <v>172.6</v>
      </c>
      <c r="K334">
        <v>166.2</v>
      </c>
      <c r="L334">
        <v>164.7</v>
      </c>
      <c r="M334">
        <v>119</v>
      </c>
      <c r="N334">
        <v>181.3</v>
      </c>
      <c r="O334">
        <v>166.2</v>
      </c>
      <c r="P334">
        <v>180.9</v>
      </c>
      <c r="Q334">
        <v>170.8</v>
      </c>
      <c r="R334">
        <v>193.9</v>
      </c>
      <c r="S334">
        <v>173.9</v>
      </c>
      <c r="T334">
        <v>166.5</v>
      </c>
      <c r="U334">
        <v>172.8</v>
      </c>
      <c r="V334">
        <v>167</v>
      </c>
      <c r="W334">
        <v>172.2</v>
      </c>
      <c r="X334">
        <v>164</v>
      </c>
      <c r="Y334">
        <v>174</v>
      </c>
      <c r="Z334">
        <v>162.6</v>
      </c>
      <c r="AA334">
        <v>164.4</v>
      </c>
      <c r="AB334">
        <v>166.9</v>
      </c>
      <c r="AC334">
        <v>168.8</v>
      </c>
      <c r="AD334">
        <v>166.8</v>
      </c>
      <c r="AE334">
        <v>170.1</v>
      </c>
      <c r="AF334">
        <f>SUM(Table2[[#This Row],[Cereals and products]:[Food and beverages]])</f>
        <v>2214.3000000000002</v>
      </c>
      <c r="AG334">
        <f>SUM(Table2[[#This Row],[Housing]:[Household goods and services]],Table2[[#This Row],[Transport and communication]],Table2[[#This Row],[Education]])</f>
        <v>832.69999999999993</v>
      </c>
      <c r="AH334">
        <f>SUM(Table2[[#This Row],[Clothing]:[Clothing and footwear]])</f>
        <v>513.20000000000005</v>
      </c>
      <c r="AI334">
        <f>SUM(Table2[[#This Row],[Pan, tobacco and intoxicants]],Table2[[#This Row],[Recreation and amusement]],Table2[[#This Row],[Personal care and effects]])</f>
        <v>527.1</v>
      </c>
    </row>
    <row r="335" spans="1:35" x14ac:dyDescent="0.25">
      <c r="A335" t="s">
        <v>30</v>
      </c>
      <c r="B335">
        <v>2022</v>
      </c>
      <c r="C335" t="s">
        <v>41</v>
      </c>
      <c r="D335" s="2">
        <v>44682</v>
      </c>
      <c r="E335">
        <v>152.9</v>
      </c>
      <c r="F335">
        <v>214.7</v>
      </c>
      <c r="G335">
        <v>161.4</v>
      </c>
      <c r="H335">
        <v>164.6</v>
      </c>
      <c r="I335">
        <v>209.9</v>
      </c>
      <c r="J335">
        <v>168</v>
      </c>
      <c r="K335">
        <v>160.4</v>
      </c>
      <c r="L335">
        <v>165</v>
      </c>
      <c r="M335">
        <v>118.9</v>
      </c>
      <c r="N335">
        <v>186.6</v>
      </c>
      <c r="O335">
        <v>173.2</v>
      </c>
      <c r="P335">
        <v>180.4</v>
      </c>
      <c r="Q335">
        <v>170.8</v>
      </c>
      <c r="R335">
        <v>192.9</v>
      </c>
      <c r="S335">
        <v>179.3</v>
      </c>
      <c r="T335">
        <v>177.2</v>
      </c>
      <c r="U335">
        <v>179</v>
      </c>
      <c r="V335">
        <v>167.5</v>
      </c>
      <c r="W335">
        <v>175.3</v>
      </c>
      <c r="X335">
        <v>168.9</v>
      </c>
      <c r="Y335">
        <v>177.7</v>
      </c>
      <c r="Z335">
        <v>167.1</v>
      </c>
      <c r="AA335">
        <v>167.6</v>
      </c>
      <c r="AB335">
        <v>171.8</v>
      </c>
      <c r="AC335">
        <v>168.5</v>
      </c>
      <c r="AD335">
        <v>170.9</v>
      </c>
      <c r="AE335">
        <v>172.5</v>
      </c>
      <c r="AF335">
        <f>SUM(Table2[[#This Row],[Cereals and products]:[Food and beverages]])</f>
        <v>2226.8000000000002</v>
      </c>
      <c r="AG335">
        <f>SUM(Table2[[#This Row],[Housing]:[Household goods and services]],Table2[[#This Row],[Transport and communication]],Table2[[#This Row],[Education]])</f>
        <v>850.60000000000014</v>
      </c>
      <c r="AH335">
        <f>SUM(Table2[[#This Row],[Clothing]:[Clothing and footwear]])</f>
        <v>535.5</v>
      </c>
      <c r="AI335">
        <f>SUM(Table2[[#This Row],[Pan, tobacco and intoxicants]],Table2[[#This Row],[Recreation and amusement]],Table2[[#This Row],[Personal care and effects]])</f>
        <v>529</v>
      </c>
    </row>
    <row r="336" spans="1:35" x14ac:dyDescent="0.25">
      <c r="A336" t="s">
        <v>33</v>
      </c>
      <c r="B336">
        <v>2022</v>
      </c>
      <c r="C336" t="s">
        <v>41</v>
      </c>
      <c r="D336" s="2">
        <v>44682</v>
      </c>
      <c r="E336">
        <v>156.69999999999999</v>
      </c>
      <c r="F336">
        <v>221.2</v>
      </c>
      <c r="G336">
        <v>164.1</v>
      </c>
      <c r="H336">
        <v>165.4</v>
      </c>
      <c r="I336">
        <v>189.5</v>
      </c>
      <c r="J336">
        <v>174.5</v>
      </c>
      <c r="K336">
        <v>203.2</v>
      </c>
      <c r="L336">
        <v>164.1</v>
      </c>
      <c r="M336">
        <v>121.2</v>
      </c>
      <c r="N336">
        <v>181.4</v>
      </c>
      <c r="O336">
        <v>158.5</v>
      </c>
      <c r="P336">
        <v>184.9</v>
      </c>
      <c r="Q336">
        <v>177.5</v>
      </c>
      <c r="R336">
        <v>197.5</v>
      </c>
      <c r="S336">
        <v>170</v>
      </c>
      <c r="T336">
        <v>155.9</v>
      </c>
      <c r="U336">
        <v>167.8</v>
      </c>
      <c r="V336">
        <v>167.5</v>
      </c>
      <c r="W336">
        <v>173.5</v>
      </c>
      <c r="X336">
        <v>161.1</v>
      </c>
      <c r="Y336">
        <v>170.1</v>
      </c>
      <c r="Z336">
        <v>159.4</v>
      </c>
      <c r="AA336">
        <v>163.19999999999999</v>
      </c>
      <c r="AB336">
        <v>165.2</v>
      </c>
      <c r="AC336">
        <v>168.2</v>
      </c>
      <c r="AD336">
        <v>163.80000000000001</v>
      </c>
      <c r="AE336">
        <v>170.8</v>
      </c>
      <c r="AF336">
        <f>SUM(Table2[[#This Row],[Cereals and products]:[Food and beverages]])</f>
        <v>2262.2000000000003</v>
      </c>
      <c r="AG336">
        <f>SUM(Table2[[#This Row],[Housing]:[Household goods and services]],Table2[[#This Row],[Transport and communication]],Table2[[#This Row],[Education]])</f>
        <v>826.7</v>
      </c>
      <c r="AH336">
        <f>SUM(Table2[[#This Row],[Clothing]:[Clothing and footwear]])</f>
        <v>493.7</v>
      </c>
      <c r="AI336">
        <f>SUM(Table2[[#This Row],[Pan, tobacco and intoxicants]],Table2[[#This Row],[Recreation and amusement]],Table2[[#This Row],[Personal care and effects]])</f>
        <v>528.9</v>
      </c>
    </row>
    <row r="337" spans="1:35" x14ac:dyDescent="0.25">
      <c r="A337" t="s">
        <v>35</v>
      </c>
      <c r="B337">
        <v>2022</v>
      </c>
      <c r="C337" t="s">
        <v>41</v>
      </c>
      <c r="D337" s="2">
        <v>44682</v>
      </c>
      <c r="E337">
        <v>154.1</v>
      </c>
      <c r="F337">
        <v>217</v>
      </c>
      <c r="G337">
        <v>162.4</v>
      </c>
      <c r="H337">
        <v>164.9</v>
      </c>
      <c r="I337">
        <v>202.4</v>
      </c>
      <c r="J337">
        <v>171</v>
      </c>
      <c r="K337">
        <v>174.9</v>
      </c>
      <c r="L337">
        <v>164.7</v>
      </c>
      <c r="M337">
        <v>119.7</v>
      </c>
      <c r="N337">
        <v>184.9</v>
      </c>
      <c r="O337">
        <v>167.1</v>
      </c>
      <c r="P337">
        <v>182.5</v>
      </c>
      <c r="Q337">
        <v>173.3</v>
      </c>
      <c r="R337">
        <v>194.1</v>
      </c>
      <c r="S337">
        <v>175.6</v>
      </c>
      <c r="T337">
        <v>168.4</v>
      </c>
      <c r="U337">
        <v>174.6</v>
      </c>
      <c r="V337">
        <v>167.5</v>
      </c>
      <c r="W337">
        <v>174.6</v>
      </c>
      <c r="X337">
        <v>165.2</v>
      </c>
      <c r="Y337">
        <v>174.8</v>
      </c>
      <c r="Z337">
        <v>163</v>
      </c>
      <c r="AA337">
        <v>165.1</v>
      </c>
      <c r="AB337">
        <v>167.9</v>
      </c>
      <c r="AC337">
        <v>168.4</v>
      </c>
      <c r="AD337">
        <v>167.5</v>
      </c>
      <c r="AE337">
        <v>171.7</v>
      </c>
      <c r="AF337">
        <f>SUM(Table2[[#This Row],[Cereals and products]:[Food and beverages]])</f>
        <v>2238.9000000000005</v>
      </c>
      <c r="AG337">
        <f>SUM(Table2[[#This Row],[Housing]:[Household goods and services]],Table2[[#This Row],[Transport and communication]],Table2[[#This Row],[Education]])</f>
        <v>838.19999999999993</v>
      </c>
      <c r="AH337">
        <f>SUM(Table2[[#This Row],[Clothing]:[Clothing and footwear]])</f>
        <v>518.6</v>
      </c>
      <c r="AI337">
        <f>SUM(Table2[[#This Row],[Pan, tobacco and intoxicants]],Table2[[#This Row],[Recreation and amusement]],Table2[[#This Row],[Personal care and effects]])</f>
        <v>527.6</v>
      </c>
    </row>
    <row r="338" spans="1:35" x14ac:dyDescent="0.25">
      <c r="A338" t="s">
        <v>30</v>
      </c>
      <c r="B338">
        <v>2022</v>
      </c>
      <c r="C338" t="s">
        <v>42</v>
      </c>
      <c r="D338" s="2">
        <v>44713</v>
      </c>
      <c r="E338">
        <v>153.80000000000001</v>
      </c>
      <c r="F338">
        <v>217.2</v>
      </c>
      <c r="G338">
        <v>169.6</v>
      </c>
      <c r="H338">
        <v>165.4</v>
      </c>
      <c r="I338">
        <v>208.1</v>
      </c>
      <c r="J338">
        <v>165.8</v>
      </c>
      <c r="K338">
        <v>167.3</v>
      </c>
      <c r="L338">
        <v>164.6</v>
      </c>
      <c r="M338">
        <v>119.1</v>
      </c>
      <c r="N338">
        <v>188.9</v>
      </c>
      <c r="O338">
        <v>174.2</v>
      </c>
      <c r="P338">
        <v>181.9</v>
      </c>
      <c r="Q338">
        <v>172.4</v>
      </c>
      <c r="R338">
        <v>192.9</v>
      </c>
      <c r="S338">
        <v>180.7</v>
      </c>
      <c r="T338">
        <v>178.7</v>
      </c>
      <c r="U338">
        <v>180.4</v>
      </c>
      <c r="V338">
        <v>166.8</v>
      </c>
      <c r="W338">
        <v>176.7</v>
      </c>
      <c r="X338">
        <v>170.3</v>
      </c>
      <c r="Y338">
        <v>178.2</v>
      </c>
      <c r="Z338">
        <v>165.5</v>
      </c>
      <c r="AA338">
        <v>168</v>
      </c>
      <c r="AB338">
        <v>172.6</v>
      </c>
      <c r="AC338">
        <v>169.5</v>
      </c>
      <c r="AD338">
        <v>171</v>
      </c>
      <c r="AE338">
        <v>173.6</v>
      </c>
      <c r="AF338">
        <f>SUM(Table2[[#This Row],[Cereals and products]:[Food and beverages]])</f>
        <v>2248.3000000000002</v>
      </c>
      <c r="AG338">
        <f>SUM(Table2[[#This Row],[Housing]:[Household goods and services]],Table2[[#This Row],[Transport and communication]],Table2[[#This Row],[Education]])</f>
        <v>851.9</v>
      </c>
      <c r="AH338">
        <f>SUM(Table2[[#This Row],[Clothing]:[Clothing and footwear]])</f>
        <v>539.79999999999995</v>
      </c>
      <c r="AI338">
        <f>SUM(Table2[[#This Row],[Pan, tobacco and intoxicants]],Table2[[#This Row],[Recreation and amusement]],Table2[[#This Row],[Personal care and effects]])</f>
        <v>530.4</v>
      </c>
    </row>
    <row r="339" spans="1:35" x14ac:dyDescent="0.25">
      <c r="A339" t="s">
        <v>33</v>
      </c>
      <c r="B339">
        <v>2022</v>
      </c>
      <c r="C339" t="s">
        <v>42</v>
      </c>
      <c r="D339" s="2">
        <v>44713</v>
      </c>
      <c r="E339">
        <v>157.5</v>
      </c>
      <c r="F339">
        <v>223.4</v>
      </c>
      <c r="G339">
        <v>172.8</v>
      </c>
      <c r="H339">
        <v>166.4</v>
      </c>
      <c r="I339">
        <v>188.6</v>
      </c>
      <c r="J339">
        <v>174.1</v>
      </c>
      <c r="K339">
        <v>211.5</v>
      </c>
      <c r="L339">
        <v>163.6</v>
      </c>
      <c r="M339">
        <v>121.4</v>
      </c>
      <c r="N339">
        <v>183.5</v>
      </c>
      <c r="O339">
        <v>159.1</v>
      </c>
      <c r="P339">
        <v>186.3</v>
      </c>
      <c r="Q339">
        <v>179.3</v>
      </c>
      <c r="R339">
        <v>198.3</v>
      </c>
      <c r="S339">
        <v>171.6</v>
      </c>
      <c r="T339">
        <v>157.4</v>
      </c>
      <c r="U339">
        <v>169.4</v>
      </c>
      <c r="V339">
        <v>166.8</v>
      </c>
      <c r="W339">
        <v>174.9</v>
      </c>
      <c r="X339">
        <v>162.1</v>
      </c>
      <c r="Y339">
        <v>170.9</v>
      </c>
      <c r="Z339">
        <v>157.19999999999999</v>
      </c>
      <c r="AA339">
        <v>164.1</v>
      </c>
      <c r="AB339">
        <v>166.5</v>
      </c>
      <c r="AC339">
        <v>169.2</v>
      </c>
      <c r="AD339">
        <v>163.80000000000001</v>
      </c>
      <c r="AE339">
        <v>171.4</v>
      </c>
      <c r="AF339">
        <f>SUM(Table2[[#This Row],[Cereals and products]:[Food and beverages]])</f>
        <v>2287.5</v>
      </c>
      <c r="AG339">
        <f>SUM(Table2[[#This Row],[Housing]:[Household goods and services]],Table2[[#This Row],[Transport and communication]],Table2[[#This Row],[Education]])</f>
        <v>827.5</v>
      </c>
      <c r="AH339">
        <f>SUM(Table2[[#This Row],[Clothing]:[Clothing and footwear]])</f>
        <v>498.4</v>
      </c>
      <c r="AI339">
        <f>SUM(Table2[[#This Row],[Pan, tobacco and intoxicants]],Table2[[#This Row],[Recreation and amusement]],Table2[[#This Row],[Personal care and effects]])</f>
        <v>531.59999999999991</v>
      </c>
    </row>
    <row r="340" spans="1:35" x14ac:dyDescent="0.25">
      <c r="A340" t="s">
        <v>35</v>
      </c>
      <c r="B340">
        <v>2022</v>
      </c>
      <c r="C340" t="s">
        <v>42</v>
      </c>
      <c r="D340" s="2">
        <v>44713</v>
      </c>
      <c r="E340">
        <v>155</v>
      </c>
      <c r="F340">
        <v>219.4</v>
      </c>
      <c r="G340">
        <v>170.8</v>
      </c>
      <c r="H340">
        <v>165.8</v>
      </c>
      <c r="I340">
        <v>200.9</v>
      </c>
      <c r="J340">
        <v>169.7</v>
      </c>
      <c r="K340">
        <v>182.3</v>
      </c>
      <c r="L340">
        <v>164.3</v>
      </c>
      <c r="M340">
        <v>119.9</v>
      </c>
      <c r="N340">
        <v>187.1</v>
      </c>
      <c r="O340">
        <v>167.9</v>
      </c>
      <c r="P340">
        <v>183.9</v>
      </c>
      <c r="Q340">
        <v>174.9</v>
      </c>
      <c r="R340">
        <v>194.3</v>
      </c>
      <c r="S340">
        <v>177.1</v>
      </c>
      <c r="T340">
        <v>169.9</v>
      </c>
      <c r="U340">
        <v>176</v>
      </c>
      <c r="V340">
        <v>166.8</v>
      </c>
      <c r="W340">
        <v>176</v>
      </c>
      <c r="X340">
        <v>166.4</v>
      </c>
      <c r="Y340">
        <v>175.4</v>
      </c>
      <c r="Z340">
        <v>161.1</v>
      </c>
      <c r="AA340">
        <v>165.8</v>
      </c>
      <c r="AB340">
        <v>169</v>
      </c>
      <c r="AC340">
        <v>169.4</v>
      </c>
      <c r="AD340">
        <v>167.5</v>
      </c>
      <c r="AE340">
        <v>172.6</v>
      </c>
      <c r="AF340">
        <f>SUM(Table2[[#This Row],[Cereals and products]:[Food and beverages]])</f>
        <v>2261.9</v>
      </c>
      <c r="AG340">
        <f>SUM(Table2[[#This Row],[Housing]:[Household goods and services]],Table2[[#This Row],[Transport and communication]],Table2[[#This Row],[Education]])</f>
        <v>839.30000000000007</v>
      </c>
      <c r="AH340">
        <f>SUM(Table2[[#This Row],[Clothing]:[Clothing and footwear]])</f>
        <v>523</v>
      </c>
      <c r="AI340">
        <f>SUM(Table2[[#This Row],[Pan, tobacco and intoxicants]],Table2[[#This Row],[Recreation and amusement]],Table2[[#This Row],[Personal care and effects]])</f>
        <v>529.5</v>
      </c>
    </row>
    <row r="341" spans="1:35" x14ac:dyDescent="0.25">
      <c r="A341" t="s">
        <v>30</v>
      </c>
      <c r="B341">
        <v>2022</v>
      </c>
      <c r="C341" t="s">
        <v>44</v>
      </c>
      <c r="D341" s="2">
        <v>44743</v>
      </c>
      <c r="E341">
        <v>155.19999999999999</v>
      </c>
      <c r="F341">
        <v>210.8</v>
      </c>
      <c r="G341">
        <v>174.3</v>
      </c>
      <c r="H341">
        <v>166.3</v>
      </c>
      <c r="I341">
        <v>202.2</v>
      </c>
      <c r="J341">
        <v>169.6</v>
      </c>
      <c r="K341">
        <v>168.6</v>
      </c>
      <c r="L341">
        <v>164.4</v>
      </c>
      <c r="M341">
        <v>119.2</v>
      </c>
      <c r="N341">
        <v>191.8</v>
      </c>
      <c r="O341">
        <v>174.5</v>
      </c>
      <c r="P341">
        <v>183.1</v>
      </c>
      <c r="Q341">
        <v>172.5</v>
      </c>
      <c r="R341">
        <v>193.2</v>
      </c>
      <c r="S341">
        <v>182</v>
      </c>
      <c r="T341">
        <v>180.3</v>
      </c>
      <c r="U341">
        <v>181.7</v>
      </c>
      <c r="V341">
        <v>167.8</v>
      </c>
      <c r="W341">
        <v>179.6</v>
      </c>
      <c r="X341">
        <v>171.3</v>
      </c>
      <c r="Y341">
        <v>178.8</v>
      </c>
      <c r="Z341">
        <v>166.3</v>
      </c>
      <c r="AA341">
        <v>168.6</v>
      </c>
      <c r="AB341">
        <v>174.7</v>
      </c>
      <c r="AC341">
        <v>169.7</v>
      </c>
      <c r="AD341">
        <v>171.8</v>
      </c>
      <c r="AE341">
        <v>174.3</v>
      </c>
      <c r="AF341">
        <f>SUM(Table2[[#This Row],[Cereals and products]:[Food and beverages]])</f>
        <v>2252.5</v>
      </c>
      <c r="AG341">
        <f>SUM(Table2[[#This Row],[Housing]:[Household goods and services]],Table2[[#This Row],[Transport and communication]],Table2[[#This Row],[Education]])</f>
        <v>859.7</v>
      </c>
      <c r="AH341">
        <f>SUM(Table2[[#This Row],[Clothing]:[Clothing and footwear]])</f>
        <v>544</v>
      </c>
      <c r="AI341">
        <f>SUM(Table2[[#This Row],[Pan, tobacco and intoxicants]],Table2[[#This Row],[Recreation and amusement]],Table2[[#This Row],[Personal care and effects]])</f>
        <v>531.5</v>
      </c>
    </row>
    <row r="342" spans="1:35" x14ac:dyDescent="0.25">
      <c r="A342" t="s">
        <v>33</v>
      </c>
      <c r="B342">
        <v>2022</v>
      </c>
      <c r="C342" t="s">
        <v>44</v>
      </c>
      <c r="D342" s="2">
        <v>44743</v>
      </c>
      <c r="E342">
        <v>159.30000000000001</v>
      </c>
      <c r="F342">
        <v>217.1</v>
      </c>
      <c r="G342">
        <v>176.6</v>
      </c>
      <c r="H342">
        <v>167.1</v>
      </c>
      <c r="I342">
        <v>184.8</v>
      </c>
      <c r="J342">
        <v>179.5</v>
      </c>
      <c r="K342">
        <v>208.5</v>
      </c>
      <c r="L342">
        <v>164</v>
      </c>
      <c r="M342">
        <v>121.5</v>
      </c>
      <c r="N342">
        <v>186.3</v>
      </c>
      <c r="O342">
        <v>159.80000000000001</v>
      </c>
      <c r="P342">
        <v>187.7</v>
      </c>
      <c r="Q342">
        <v>179.4</v>
      </c>
      <c r="R342">
        <v>198.6</v>
      </c>
      <c r="S342">
        <v>172.7</v>
      </c>
      <c r="T342">
        <v>158.69999999999999</v>
      </c>
      <c r="U342">
        <v>170.6</v>
      </c>
      <c r="V342">
        <v>167.8</v>
      </c>
      <c r="W342">
        <v>179.5</v>
      </c>
      <c r="X342">
        <v>163.1</v>
      </c>
      <c r="Y342">
        <v>171.7</v>
      </c>
      <c r="Z342">
        <v>157.4</v>
      </c>
      <c r="AA342">
        <v>164.6</v>
      </c>
      <c r="AB342">
        <v>169.1</v>
      </c>
      <c r="AC342">
        <v>169.8</v>
      </c>
      <c r="AD342">
        <v>164.7</v>
      </c>
      <c r="AE342">
        <v>172.3</v>
      </c>
      <c r="AF342">
        <f>SUM(Table2[[#This Row],[Cereals and products]:[Food and beverages]])</f>
        <v>2291.6</v>
      </c>
      <c r="AG342">
        <f>SUM(Table2[[#This Row],[Housing]:[Household goods and services]],Table2[[#This Row],[Transport and communication]],Table2[[#This Row],[Education]])</f>
        <v>836.9</v>
      </c>
      <c r="AH342">
        <f>SUM(Table2[[#This Row],[Clothing]:[Clothing and footwear]])</f>
        <v>502</v>
      </c>
      <c r="AI342">
        <f>SUM(Table2[[#This Row],[Pan, tobacco and intoxicants]],Table2[[#This Row],[Recreation and amusement]],Table2[[#This Row],[Personal care and effects]])</f>
        <v>533</v>
      </c>
    </row>
    <row r="343" spans="1:35" x14ac:dyDescent="0.25">
      <c r="A343" t="s">
        <v>35</v>
      </c>
      <c r="B343">
        <v>2022</v>
      </c>
      <c r="C343" t="s">
        <v>44</v>
      </c>
      <c r="D343" s="2">
        <v>44743</v>
      </c>
      <c r="E343">
        <v>156.5</v>
      </c>
      <c r="F343">
        <v>213</v>
      </c>
      <c r="G343">
        <v>175.2</v>
      </c>
      <c r="H343">
        <v>166.6</v>
      </c>
      <c r="I343">
        <v>195.8</v>
      </c>
      <c r="J343">
        <v>174.2</v>
      </c>
      <c r="K343">
        <v>182.1</v>
      </c>
      <c r="L343">
        <v>164.3</v>
      </c>
      <c r="M343">
        <v>120</v>
      </c>
      <c r="N343">
        <v>190</v>
      </c>
      <c r="O343">
        <v>168.4</v>
      </c>
      <c r="P343">
        <v>185.2</v>
      </c>
      <c r="Q343">
        <v>175</v>
      </c>
      <c r="R343">
        <v>194.6</v>
      </c>
      <c r="S343">
        <v>178.3</v>
      </c>
      <c r="T343">
        <v>171.3</v>
      </c>
      <c r="U343">
        <v>177.3</v>
      </c>
      <c r="V343">
        <v>167.8</v>
      </c>
      <c r="W343">
        <v>179.6</v>
      </c>
      <c r="X343">
        <v>167.4</v>
      </c>
      <c r="Y343">
        <v>176.1</v>
      </c>
      <c r="Z343">
        <v>161.6</v>
      </c>
      <c r="AA343">
        <v>166.3</v>
      </c>
      <c r="AB343">
        <v>171.4</v>
      </c>
      <c r="AC343">
        <v>169.7</v>
      </c>
      <c r="AD343">
        <v>168.4</v>
      </c>
      <c r="AE343">
        <v>173.4</v>
      </c>
      <c r="AF343">
        <f>SUM(Table2[[#This Row],[Cereals and products]:[Food and beverages]])</f>
        <v>2266.3000000000002</v>
      </c>
      <c r="AG343">
        <f>SUM(Table2[[#This Row],[Housing]:[Household goods and services]],Table2[[#This Row],[Transport and communication]],Table2[[#This Row],[Education]])</f>
        <v>847.8</v>
      </c>
      <c r="AH343">
        <f>SUM(Table2[[#This Row],[Clothing]:[Clothing and footwear]])</f>
        <v>526.90000000000009</v>
      </c>
      <c r="AI343">
        <f>SUM(Table2[[#This Row],[Pan, tobacco and intoxicants]],Table2[[#This Row],[Recreation and amusement]],Table2[[#This Row],[Personal care and effects]])</f>
        <v>530.59999999999991</v>
      </c>
    </row>
    <row r="344" spans="1:35" x14ac:dyDescent="0.25">
      <c r="A344" t="s">
        <v>30</v>
      </c>
      <c r="B344">
        <v>2022</v>
      </c>
      <c r="C344" t="s">
        <v>46</v>
      </c>
      <c r="D344" s="2">
        <v>44774</v>
      </c>
      <c r="E344">
        <v>159.5</v>
      </c>
      <c r="F344">
        <v>204.1</v>
      </c>
      <c r="G344">
        <v>168.3</v>
      </c>
      <c r="H344">
        <v>167.9</v>
      </c>
      <c r="I344">
        <v>198.1</v>
      </c>
      <c r="J344">
        <v>169.2</v>
      </c>
      <c r="K344">
        <v>173.1</v>
      </c>
      <c r="L344">
        <v>167.1</v>
      </c>
      <c r="M344">
        <v>120.2</v>
      </c>
      <c r="N344">
        <v>195.6</v>
      </c>
      <c r="O344">
        <v>174.8</v>
      </c>
      <c r="P344">
        <v>184</v>
      </c>
      <c r="Q344">
        <v>173.9</v>
      </c>
      <c r="R344">
        <v>193.7</v>
      </c>
      <c r="S344">
        <v>183.2</v>
      </c>
      <c r="T344">
        <v>181.7</v>
      </c>
      <c r="U344">
        <v>183</v>
      </c>
      <c r="V344">
        <v>169</v>
      </c>
      <c r="W344">
        <v>179.1</v>
      </c>
      <c r="X344">
        <v>172.3</v>
      </c>
      <c r="Y344">
        <v>179.4</v>
      </c>
      <c r="Z344">
        <v>166.6</v>
      </c>
      <c r="AA344">
        <v>169.3</v>
      </c>
      <c r="AB344">
        <v>175.7</v>
      </c>
      <c r="AC344">
        <v>171.1</v>
      </c>
      <c r="AD344">
        <v>172.6</v>
      </c>
      <c r="AE344">
        <v>175.3</v>
      </c>
      <c r="AF344">
        <f>SUM(Table2[[#This Row],[Cereals and products]:[Food and beverages]])</f>
        <v>2255.7999999999997</v>
      </c>
      <c r="AG344">
        <f>SUM(Table2[[#This Row],[Housing]:[Household goods and services]],Table2[[#This Row],[Transport and communication]],Table2[[#This Row],[Education]])</f>
        <v>862.7</v>
      </c>
      <c r="AH344">
        <f>SUM(Table2[[#This Row],[Clothing]:[Clothing and footwear]])</f>
        <v>547.9</v>
      </c>
      <c r="AI344">
        <f>SUM(Table2[[#This Row],[Pan, tobacco and intoxicants]],Table2[[#This Row],[Recreation and amusement]],Table2[[#This Row],[Personal care and effects]])</f>
        <v>534.1</v>
      </c>
    </row>
    <row r="345" spans="1:35" x14ac:dyDescent="0.25">
      <c r="A345" t="s">
        <v>33</v>
      </c>
      <c r="B345">
        <v>2022</v>
      </c>
      <c r="C345" t="s">
        <v>46</v>
      </c>
      <c r="D345" s="2">
        <v>44774</v>
      </c>
      <c r="E345">
        <v>162.1</v>
      </c>
      <c r="F345">
        <v>210.9</v>
      </c>
      <c r="G345">
        <v>170.6</v>
      </c>
      <c r="H345">
        <v>168.4</v>
      </c>
      <c r="I345">
        <v>182.5</v>
      </c>
      <c r="J345">
        <v>177.1</v>
      </c>
      <c r="K345">
        <v>213.1</v>
      </c>
      <c r="L345">
        <v>167.3</v>
      </c>
      <c r="M345">
        <v>122.2</v>
      </c>
      <c r="N345">
        <v>189.7</v>
      </c>
      <c r="O345">
        <v>160.5</v>
      </c>
      <c r="P345">
        <v>188.9</v>
      </c>
      <c r="Q345">
        <v>180.4</v>
      </c>
      <c r="R345">
        <v>198.7</v>
      </c>
      <c r="S345">
        <v>173.7</v>
      </c>
      <c r="T345">
        <v>160</v>
      </c>
      <c r="U345">
        <v>171.6</v>
      </c>
      <c r="V345">
        <v>169</v>
      </c>
      <c r="W345">
        <v>178.4</v>
      </c>
      <c r="X345">
        <v>164.2</v>
      </c>
      <c r="Y345">
        <v>172.6</v>
      </c>
      <c r="Z345">
        <v>157.69999999999999</v>
      </c>
      <c r="AA345">
        <v>165.1</v>
      </c>
      <c r="AB345">
        <v>169.9</v>
      </c>
      <c r="AC345">
        <v>171.4</v>
      </c>
      <c r="AD345">
        <v>165.4</v>
      </c>
      <c r="AE345">
        <v>173.1</v>
      </c>
      <c r="AF345">
        <f>SUM(Table2[[#This Row],[Cereals and products]:[Food and beverages]])</f>
        <v>2293.6999999999998</v>
      </c>
      <c r="AG345">
        <f>SUM(Table2[[#This Row],[Housing]:[Household goods and services]],Table2[[#This Row],[Transport and communication]],Table2[[#This Row],[Education]])</f>
        <v>839.19999999999993</v>
      </c>
      <c r="AH345">
        <f>SUM(Table2[[#This Row],[Clothing]:[Clothing and footwear]])</f>
        <v>505.29999999999995</v>
      </c>
      <c r="AI345">
        <f>SUM(Table2[[#This Row],[Pan, tobacco and intoxicants]],Table2[[#This Row],[Recreation and amusement]],Table2[[#This Row],[Personal care and effects]])</f>
        <v>535.19999999999993</v>
      </c>
    </row>
    <row r="346" spans="1:35" x14ac:dyDescent="0.25">
      <c r="A346" t="s">
        <v>35</v>
      </c>
      <c r="B346">
        <v>2022</v>
      </c>
      <c r="C346" t="s">
        <v>46</v>
      </c>
      <c r="D346" s="2">
        <v>44774</v>
      </c>
      <c r="E346">
        <v>160.30000000000001</v>
      </c>
      <c r="F346">
        <v>206.5</v>
      </c>
      <c r="G346">
        <v>169.2</v>
      </c>
      <c r="H346">
        <v>168.1</v>
      </c>
      <c r="I346">
        <v>192.4</v>
      </c>
      <c r="J346">
        <v>172.9</v>
      </c>
      <c r="K346">
        <v>186.7</v>
      </c>
      <c r="L346">
        <v>167.2</v>
      </c>
      <c r="M346">
        <v>120.9</v>
      </c>
      <c r="N346">
        <v>193.6</v>
      </c>
      <c r="O346">
        <v>168.8</v>
      </c>
      <c r="P346">
        <v>186.3</v>
      </c>
      <c r="Q346">
        <v>176.3</v>
      </c>
      <c r="R346">
        <v>195</v>
      </c>
      <c r="S346">
        <v>179.5</v>
      </c>
      <c r="T346">
        <v>172.7</v>
      </c>
      <c r="U346">
        <v>178.5</v>
      </c>
      <c r="V346">
        <v>169</v>
      </c>
      <c r="W346">
        <v>178.8</v>
      </c>
      <c r="X346">
        <v>168.5</v>
      </c>
      <c r="Y346">
        <v>176.8</v>
      </c>
      <c r="Z346">
        <v>161.9</v>
      </c>
      <c r="AA346">
        <v>166.9</v>
      </c>
      <c r="AB346">
        <v>172.3</v>
      </c>
      <c r="AC346">
        <v>171.2</v>
      </c>
      <c r="AD346">
        <v>169.1</v>
      </c>
      <c r="AE346">
        <v>174.3</v>
      </c>
      <c r="AF346">
        <f>SUM(Table2[[#This Row],[Cereals and products]:[Food and beverages]])</f>
        <v>2269.2000000000003</v>
      </c>
      <c r="AG346">
        <f>SUM(Table2[[#This Row],[Housing]:[Household goods and services]],Table2[[#This Row],[Transport and communication]],Table2[[#This Row],[Education]])</f>
        <v>850.5</v>
      </c>
      <c r="AH346">
        <f>SUM(Table2[[#This Row],[Clothing]:[Clothing and footwear]])</f>
        <v>530.70000000000005</v>
      </c>
      <c r="AI346">
        <f>SUM(Table2[[#This Row],[Pan, tobacco and intoxicants]],Table2[[#This Row],[Recreation and amusement]],Table2[[#This Row],[Personal care and effects]])</f>
        <v>533.09999999999991</v>
      </c>
    </row>
    <row r="347" spans="1:35" x14ac:dyDescent="0.25">
      <c r="A347" t="s">
        <v>30</v>
      </c>
      <c r="B347">
        <v>2022</v>
      </c>
      <c r="C347" t="s">
        <v>48</v>
      </c>
      <c r="D347" s="2">
        <v>44805</v>
      </c>
      <c r="E347">
        <v>162.9</v>
      </c>
      <c r="F347">
        <v>206.7</v>
      </c>
      <c r="G347">
        <v>169</v>
      </c>
      <c r="H347">
        <v>169.5</v>
      </c>
      <c r="I347">
        <v>194.1</v>
      </c>
      <c r="J347">
        <v>164.1</v>
      </c>
      <c r="K347">
        <v>176.9</v>
      </c>
      <c r="L347">
        <v>169</v>
      </c>
      <c r="M347">
        <v>120.8</v>
      </c>
      <c r="N347">
        <v>199.1</v>
      </c>
      <c r="O347">
        <v>175.4</v>
      </c>
      <c r="P347">
        <v>184.8</v>
      </c>
      <c r="Q347">
        <v>175.5</v>
      </c>
      <c r="R347">
        <v>194.5</v>
      </c>
      <c r="S347">
        <v>184.7</v>
      </c>
      <c r="T347">
        <v>183.3</v>
      </c>
      <c r="U347">
        <v>184.5</v>
      </c>
      <c r="V347">
        <v>169.5</v>
      </c>
      <c r="W347">
        <v>179.7</v>
      </c>
      <c r="X347">
        <v>173.6</v>
      </c>
      <c r="Y347">
        <v>180.2</v>
      </c>
      <c r="Z347">
        <v>166.9</v>
      </c>
      <c r="AA347">
        <v>170</v>
      </c>
      <c r="AB347">
        <v>176.2</v>
      </c>
      <c r="AC347">
        <v>170.8</v>
      </c>
      <c r="AD347">
        <v>173.1</v>
      </c>
      <c r="AE347">
        <v>176.4</v>
      </c>
      <c r="AF347">
        <f>SUM(Table2[[#This Row],[Cereals and products]:[Food and beverages]])</f>
        <v>2267.8000000000002</v>
      </c>
      <c r="AG347">
        <f>SUM(Table2[[#This Row],[Housing]:[Household goods and services]],Table2[[#This Row],[Transport and communication]],Table2[[#This Row],[Education]])</f>
        <v>865.89999999999986</v>
      </c>
      <c r="AH347">
        <f>SUM(Table2[[#This Row],[Clothing]:[Clothing and footwear]])</f>
        <v>552.5</v>
      </c>
      <c r="AI347">
        <f>SUM(Table2[[#This Row],[Pan, tobacco and intoxicants]],Table2[[#This Row],[Recreation and amusement]],Table2[[#This Row],[Personal care and effects]])</f>
        <v>535.29999999999995</v>
      </c>
    </row>
    <row r="348" spans="1:35" x14ac:dyDescent="0.25">
      <c r="A348" t="s">
        <v>33</v>
      </c>
      <c r="B348">
        <v>2022</v>
      </c>
      <c r="C348" t="s">
        <v>48</v>
      </c>
      <c r="D348" s="2">
        <v>44805</v>
      </c>
      <c r="E348">
        <v>164.9</v>
      </c>
      <c r="F348">
        <v>213.7</v>
      </c>
      <c r="G348">
        <v>170.9</v>
      </c>
      <c r="H348">
        <v>170.1</v>
      </c>
      <c r="I348">
        <v>179.3</v>
      </c>
      <c r="J348">
        <v>167.5</v>
      </c>
      <c r="K348">
        <v>220.8</v>
      </c>
      <c r="L348">
        <v>169.2</v>
      </c>
      <c r="M348">
        <v>123.1</v>
      </c>
      <c r="N348">
        <v>193.6</v>
      </c>
      <c r="O348">
        <v>161.1</v>
      </c>
      <c r="P348">
        <v>190.4</v>
      </c>
      <c r="Q348">
        <v>181.8</v>
      </c>
      <c r="R348">
        <v>199.7</v>
      </c>
      <c r="S348">
        <v>175</v>
      </c>
      <c r="T348">
        <v>161.69999999999999</v>
      </c>
      <c r="U348">
        <v>173</v>
      </c>
      <c r="V348">
        <v>169.5</v>
      </c>
      <c r="W348">
        <v>179.2</v>
      </c>
      <c r="X348">
        <v>165</v>
      </c>
      <c r="Y348">
        <v>173.8</v>
      </c>
      <c r="Z348">
        <v>158.19999999999999</v>
      </c>
      <c r="AA348">
        <v>165.8</v>
      </c>
      <c r="AB348">
        <v>170.9</v>
      </c>
      <c r="AC348">
        <v>171.1</v>
      </c>
      <c r="AD348">
        <v>166.1</v>
      </c>
      <c r="AE348">
        <v>174.1</v>
      </c>
      <c r="AF348">
        <f>SUM(Table2[[#This Row],[Cereals and products]:[Food and beverages]])</f>
        <v>2306.4</v>
      </c>
      <c r="AG348">
        <f>SUM(Table2[[#This Row],[Housing]:[Household goods and services]],Table2[[#This Row],[Transport and communication]],Table2[[#This Row],[Education]])</f>
        <v>842.80000000000007</v>
      </c>
      <c r="AH348">
        <f>SUM(Table2[[#This Row],[Clothing]:[Clothing and footwear]])</f>
        <v>509.7</v>
      </c>
      <c r="AI348">
        <f>SUM(Table2[[#This Row],[Pan, tobacco and intoxicants]],Table2[[#This Row],[Recreation and amusement]],Table2[[#This Row],[Personal care and effects]])</f>
        <v>536.6</v>
      </c>
    </row>
    <row r="349" spans="1:35" x14ac:dyDescent="0.25">
      <c r="A349" t="s">
        <v>35</v>
      </c>
      <c r="B349">
        <v>2022</v>
      </c>
      <c r="C349" t="s">
        <v>48</v>
      </c>
      <c r="D349" s="2">
        <v>44805</v>
      </c>
      <c r="E349">
        <v>163.5</v>
      </c>
      <c r="F349">
        <v>209.2</v>
      </c>
      <c r="G349">
        <v>169.7</v>
      </c>
      <c r="H349">
        <v>169.7</v>
      </c>
      <c r="I349">
        <v>188.7</v>
      </c>
      <c r="J349">
        <v>165.7</v>
      </c>
      <c r="K349">
        <v>191.8</v>
      </c>
      <c r="L349">
        <v>169.1</v>
      </c>
      <c r="M349">
        <v>121.6</v>
      </c>
      <c r="N349">
        <v>197.3</v>
      </c>
      <c r="O349">
        <v>169.4</v>
      </c>
      <c r="P349">
        <v>187.4</v>
      </c>
      <c r="Q349">
        <v>177.8</v>
      </c>
      <c r="R349">
        <v>195.9</v>
      </c>
      <c r="S349">
        <v>180.9</v>
      </c>
      <c r="T349">
        <v>174.3</v>
      </c>
      <c r="U349">
        <v>179.9</v>
      </c>
      <c r="V349">
        <v>169.5</v>
      </c>
      <c r="W349">
        <v>179.5</v>
      </c>
      <c r="X349">
        <v>169.5</v>
      </c>
      <c r="Y349">
        <v>177.8</v>
      </c>
      <c r="Z349">
        <v>162.30000000000001</v>
      </c>
      <c r="AA349">
        <v>167.6</v>
      </c>
      <c r="AB349">
        <v>173.1</v>
      </c>
      <c r="AC349">
        <v>170.9</v>
      </c>
      <c r="AD349">
        <v>169.7</v>
      </c>
      <c r="AE349">
        <v>175.3</v>
      </c>
      <c r="AF349">
        <f>SUM(Table2[[#This Row],[Cereals and products]:[Food and beverages]])</f>
        <v>2280.9</v>
      </c>
      <c r="AG349">
        <f>SUM(Table2[[#This Row],[Housing]:[Household goods and services]],Table2[[#This Row],[Transport and communication]],Table2[[#This Row],[Education]])</f>
        <v>853.9</v>
      </c>
      <c r="AH349">
        <f>SUM(Table2[[#This Row],[Clothing]:[Clothing and footwear]])</f>
        <v>535.1</v>
      </c>
      <c r="AI349">
        <f>SUM(Table2[[#This Row],[Pan, tobacco and intoxicants]],Table2[[#This Row],[Recreation and amusement]],Table2[[#This Row],[Personal care and effects]])</f>
        <v>534.4</v>
      </c>
    </row>
    <row r="350" spans="1:35" x14ac:dyDescent="0.25">
      <c r="A350" t="s">
        <v>30</v>
      </c>
      <c r="B350">
        <v>2022</v>
      </c>
      <c r="C350" t="s">
        <v>50</v>
      </c>
      <c r="D350" s="2">
        <v>44835</v>
      </c>
      <c r="E350">
        <v>164.7</v>
      </c>
      <c r="F350">
        <v>208.8</v>
      </c>
      <c r="G350">
        <v>170.3</v>
      </c>
      <c r="H350">
        <v>170.9</v>
      </c>
      <c r="I350">
        <v>191.6</v>
      </c>
      <c r="J350">
        <v>162.19999999999999</v>
      </c>
      <c r="K350">
        <v>184.8</v>
      </c>
      <c r="L350">
        <v>169.7</v>
      </c>
      <c r="M350">
        <v>121.1</v>
      </c>
      <c r="N350">
        <v>201.6</v>
      </c>
      <c r="O350">
        <v>175.8</v>
      </c>
      <c r="P350">
        <v>185.6</v>
      </c>
      <c r="Q350">
        <v>177.4</v>
      </c>
      <c r="R350">
        <v>194.9</v>
      </c>
      <c r="S350">
        <v>186.1</v>
      </c>
      <c r="T350">
        <v>184.4</v>
      </c>
      <c r="U350">
        <v>185.9</v>
      </c>
      <c r="V350">
        <v>171.2</v>
      </c>
      <c r="W350">
        <v>180.8</v>
      </c>
      <c r="X350">
        <v>174.4</v>
      </c>
      <c r="Y350">
        <v>181.2</v>
      </c>
      <c r="Z350">
        <v>167.4</v>
      </c>
      <c r="AA350">
        <v>170.6</v>
      </c>
      <c r="AB350">
        <v>176.5</v>
      </c>
      <c r="AC350">
        <v>172</v>
      </c>
      <c r="AD350">
        <v>173.9</v>
      </c>
      <c r="AE350">
        <v>177.9</v>
      </c>
      <c r="AF350">
        <f>SUM(Table2[[#This Row],[Cereals and products]:[Food and beverages]])</f>
        <v>2284.5</v>
      </c>
      <c r="AG350">
        <f>SUM(Table2[[#This Row],[Housing]:[Household goods and services]],Table2[[#This Row],[Transport and communication]],Table2[[#This Row],[Education]])</f>
        <v>870.3</v>
      </c>
      <c r="AH350">
        <f>SUM(Table2[[#This Row],[Clothing]:[Clothing and footwear]])</f>
        <v>556.4</v>
      </c>
      <c r="AI350">
        <f>SUM(Table2[[#This Row],[Pan, tobacco and intoxicants]],Table2[[#This Row],[Recreation and amusement]],Table2[[#This Row],[Personal care and effects]])</f>
        <v>537.5</v>
      </c>
    </row>
    <row r="351" spans="1:35" x14ac:dyDescent="0.25">
      <c r="A351" t="s">
        <v>33</v>
      </c>
      <c r="B351">
        <v>2022</v>
      </c>
      <c r="C351" t="s">
        <v>50</v>
      </c>
      <c r="D351" s="2">
        <v>44835</v>
      </c>
      <c r="E351">
        <v>166.4</v>
      </c>
      <c r="F351">
        <v>214.9</v>
      </c>
      <c r="G351">
        <v>171.9</v>
      </c>
      <c r="H351">
        <v>171</v>
      </c>
      <c r="I351">
        <v>177.7</v>
      </c>
      <c r="J351">
        <v>165.7</v>
      </c>
      <c r="K351">
        <v>228.6</v>
      </c>
      <c r="L351">
        <v>169.9</v>
      </c>
      <c r="M351">
        <v>123.4</v>
      </c>
      <c r="N351">
        <v>196.4</v>
      </c>
      <c r="O351">
        <v>161.6</v>
      </c>
      <c r="P351">
        <v>191.5</v>
      </c>
      <c r="Q351">
        <v>183.3</v>
      </c>
      <c r="R351">
        <v>200.1</v>
      </c>
      <c r="S351">
        <v>175.5</v>
      </c>
      <c r="T351">
        <v>162.6</v>
      </c>
      <c r="U351">
        <v>173.6</v>
      </c>
      <c r="V351">
        <v>171.2</v>
      </c>
      <c r="W351">
        <v>180</v>
      </c>
      <c r="X351">
        <v>166</v>
      </c>
      <c r="Y351">
        <v>174.7</v>
      </c>
      <c r="Z351">
        <v>158.80000000000001</v>
      </c>
      <c r="AA351">
        <v>166.3</v>
      </c>
      <c r="AB351">
        <v>171.2</v>
      </c>
      <c r="AC351">
        <v>172.3</v>
      </c>
      <c r="AD351">
        <v>166.8</v>
      </c>
      <c r="AE351">
        <v>175.3</v>
      </c>
      <c r="AF351">
        <f>SUM(Table2[[#This Row],[Cereals and products]:[Food and beverages]])</f>
        <v>2322.3000000000002</v>
      </c>
      <c r="AG351">
        <f>SUM(Table2[[#This Row],[Housing]:[Household goods and services]],Table2[[#This Row],[Transport and communication]],Table2[[#This Row],[Education]])</f>
        <v>847.2</v>
      </c>
      <c r="AH351">
        <f>SUM(Table2[[#This Row],[Clothing]:[Clothing and footwear]])</f>
        <v>511.70000000000005</v>
      </c>
      <c r="AI351">
        <f>SUM(Table2[[#This Row],[Pan, tobacco and intoxicants]],Table2[[#This Row],[Recreation and amusement]],Table2[[#This Row],[Personal care and effects]])</f>
        <v>538.70000000000005</v>
      </c>
    </row>
    <row r="352" spans="1:35" x14ac:dyDescent="0.25">
      <c r="A352" t="s">
        <v>35</v>
      </c>
      <c r="B352">
        <v>2022</v>
      </c>
      <c r="C352" t="s">
        <v>50</v>
      </c>
      <c r="D352" s="2">
        <v>44835</v>
      </c>
      <c r="E352">
        <v>165.2</v>
      </c>
      <c r="F352">
        <v>210.9</v>
      </c>
      <c r="G352">
        <v>170.9</v>
      </c>
      <c r="H352">
        <v>170.9</v>
      </c>
      <c r="I352">
        <v>186.5</v>
      </c>
      <c r="J352">
        <v>163.80000000000001</v>
      </c>
      <c r="K352">
        <v>199.7</v>
      </c>
      <c r="L352">
        <v>169.8</v>
      </c>
      <c r="M352">
        <v>121.9</v>
      </c>
      <c r="N352">
        <v>199.9</v>
      </c>
      <c r="O352">
        <v>169.9</v>
      </c>
      <c r="P352">
        <v>188.3</v>
      </c>
      <c r="Q352">
        <v>179.6</v>
      </c>
      <c r="R352">
        <v>196.3</v>
      </c>
      <c r="S352">
        <v>181.9</v>
      </c>
      <c r="T352">
        <v>175.3</v>
      </c>
      <c r="U352">
        <v>181</v>
      </c>
      <c r="V352">
        <v>171.2</v>
      </c>
      <c r="W352">
        <v>180.5</v>
      </c>
      <c r="X352">
        <v>170.4</v>
      </c>
      <c r="Y352">
        <v>178.7</v>
      </c>
      <c r="Z352">
        <v>162.9</v>
      </c>
      <c r="AA352">
        <v>168.2</v>
      </c>
      <c r="AB352">
        <v>173.4</v>
      </c>
      <c r="AC352">
        <v>172.1</v>
      </c>
      <c r="AD352">
        <v>170.5</v>
      </c>
      <c r="AE352">
        <v>176.7</v>
      </c>
      <c r="AF352">
        <f>SUM(Table2[[#This Row],[Cereals and products]:[Food and beverages]])</f>
        <v>2297.3000000000002</v>
      </c>
      <c r="AG352">
        <f>SUM(Table2[[#This Row],[Housing]:[Household goods and services]],Table2[[#This Row],[Transport and communication]],Table2[[#This Row],[Education]])</f>
        <v>858.4</v>
      </c>
      <c r="AH352">
        <f>SUM(Table2[[#This Row],[Clothing]:[Clothing and footwear]])</f>
        <v>538.20000000000005</v>
      </c>
      <c r="AI352">
        <f>SUM(Table2[[#This Row],[Pan, tobacco and intoxicants]],Table2[[#This Row],[Recreation and amusement]],Table2[[#This Row],[Personal care and effects]])</f>
        <v>536.6</v>
      </c>
    </row>
    <row r="353" spans="1:35" x14ac:dyDescent="0.25">
      <c r="A353" t="s">
        <v>30</v>
      </c>
      <c r="B353">
        <v>2022</v>
      </c>
      <c r="C353" t="s">
        <v>53</v>
      </c>
      <c r="D353" s="2">
        <v>44866</v>
      </c>
      <c r="E353">
        <v>166.9</v>
      </c>
      <c r="F353">
        <v>207.2</v>
      </c>
      <c r="G353">
        <v>180.2</v>
      </c>
      <c r="H353">
        <v>172.3</v>
      </c>
      <c r="I353">
        <v>194</v>
      </c>
      <c r="J353">
        <v>159.1</v>
      </c>
      <c r="K353">
        <v>171.6</v>
      </c>
      <c r="L353">
        <v>170.2</v>
      </c>
      <c r="M353">
        <v>121.5</v>
      </c>
      <c r="N353">
        <v>204.8</v>
      </c>
      <c r="O353">
        <v>176.4</v>
      </c>
      <c r="P353">
        <v>186.9</v>
      </c>
      <c r="Q353">
        <v>176.6</v>
      </c>
      <c r="R353">
        <v>195.5</v>
      </c>
      <c r="S353">
        <v>187.2</v>
      </c>
      <c r="T353">
        <v>185.2</v>
      </c>
      <c r="U353">
        <v>186.9</v>
      </c>
      <c r="V353">
        <v>171.8</v>
      </c>
      <c r="W353">
        <v>181.9</v>
      </c>
      <c r="X353">
        <v>175.5</v>
      </c>
      <c r="Y353">
        <v>182.3</v>
      </c>
      <c r="Z353">
        <v>167.5</v>
      </c>
      <c r="AA353">
        <v>170.8</v>
      </c>
      <c r="AB353">
        <v>176.9</v>
      </c>
      <c r="AC353">
        <v>173.4</v>
      </c>
      <c r="AD353">
        <v>174.6</v>
      </c>
      <c r="AE353">
        <v>177.8</v>
      </c>
      <c r="AF353">
        <f>SUM(Table2[[#This Row],[Cereals and products]:[Food and beverages]])</f>
        <v>2287.6999999999998</v>
      </c>
      <c r="AG353">
        <f>SUM(Table2[[#This Row],[Housing]:[Household goods and services]],Table2[[#This Row],[Transport and communication]],Table2[[#This Row],[Education]])</f>
        <v>873.6</v>
      </c>
      <c r="AH353">
        <f>SUM(Table2[[#This Row],[Clothing]:[Clothing and footwear]])</f>
        <v>559.29999999999995</v>
      </c>
      <c r="AI353">
        <f>SUM(Table2[[#This Row],[Pan, tobacco and intoxicants]],Table2[[#This Row],[Recreation and amusement]],Table2[[#This Row],[Personal care and effects]])</f>
        <v>539.70000000000005</v>
      </c>
    </row>
    <row r="354" spans="1:35" x14ac:dyDescent="0.25">
      <c r="A354" t="s">
        <v>33</v>
      </c>
      <c r="B354">
        <v>2022</v>
      </c>
      <c r="C354" t="s">
        <v>53</v>
      </c>
      <c r="D354" s="2">
        <v>44866</v>
      </c>
      <c r="E354">
        <v>168.4</v>
      </c>
      <c r="F354">
        <v>213.4</v>
      </c>
      <c r="G354">
        <v>183.2</v>
      </c>
      <c r="H354">
        <v>172.3</v>
      </c>
      <c r="I354">
        <v>180</v>
      </c>
      <c r="J354">
        <v>162.6</v>
      </c>
      <c r="K354">
        <v>205.5</v>
      </c>
      <c r="L354">
        <v>171</v>
      </c>
      <c r="M354">
        <v>123.4</v>
      </c>
      <c r="N354">
        <v>198.8</v>
      </c>
      <c r="O354">
        <v>162.1</v>
      </c>
      <c r="P354">
        <v>192.4</v>
      </c>
      <c r="Q354">
        <v>181.3</v>
      </c>
      <c r="R354">
        <v>200.6</v>
      </c>
      <c r="S354">
        <v>176.7</v>
      </c>
      <c r="T354">
        <v>163.5</v>
      </c>
      <c r="U354">
        <v>174.7</v>
      </c>
      <c r="V354">
        <v>171.8</v>
      </c>
      <c r="W354">
        <v>180.3</v>
      </c>
      <c r="X354">
        <v>166.9</v>
      </c>
      <c r="Y354">
        <v>175.8</v>
      </c>
      <c r="Z354">
        <v>158.9</v>
      </c>
      <c r="AA354">
        <v>166.7</v>
      </c>
      <c r="AB354">
        <v>171.5</v>
      </c>
      <c r="AC354">
        <v>173.8</v>
      </c>
      <c r="AD354">
        <v>167.4</v>
      </c>
      <c r="AE354">
        <v>174.1</v>
      </c>
      <c r="AF354">
        <f>SUM(Table2[[#This Row],[Cereals and products]:[Food and beverages]])</f>
        <v>2314.4</v>
      </c>
      <c r="AG354">
        <f>SUM(Table2[[#This Row],[Housing]:[Household goods and services]],Table2[[#This Row],[Transport and communication]],Table2[[#This Row],[Education]])</f>
        <v>849.4</v>
      </c>
      <c r="AH354">
        <f>SUM(Table2[[#This Row],[Clothing]:[Clothing and footwear]])</f>
        <v>514.9</v>
      </c>
      <c r="AI354">
        <f>SUM(Table2[[#This Row],[Pan, tobacco and intoxicants]],Table2[[#This Row],[Recreation and amusement]],Table2[[#This Row],[Personal care and effects]])</f>
        <v>541.09999999999991</v>
      </c>
    </row>
    <row r="355" spans="1:35" x14ac:dyDescent="0.25">
      <c r="A355" t="s">
        <v>35</v>
      </c>
      <c r="B355">
        <v>2022</v>
      </c>
      <c r="C355" t="s">
        <v>53</v>
      </c>
      <c r="D355" s="2">
        <v>44866</v>
      </c>
      <c r="E355">
        <v>167.4</v>
      </c>
      <c r="F355">
        <v>209.4</v>
      </c>
      <c r="G355">
        <v>181.4</v>
      </c>
      <c r="H355">
        <v>172.3</v>
      </c>
      <c r="I355">
        <v>188.9</v>
      </c>
      <c r="J355">
        <v>160.69999999999999</v>
      </c>
      <c r="K355">
        <v>183.1</v>
      </c>
      <c r="L355">
        <v>170.5</v>
      </c>
      <c r="M355">
        <v>122.1</v>
      </c>
      <c r="N355">
        <v>202.8</v>
      </c>
      <c r="O355">
        <v>170.4</v>
      </c>
      <c r="P355">
        <v>189.5</v>
      </c>
      <c r="Q355">
        <v>178.3</v>
      </c>
      <c r="R355">
        <v>196.9</v>
      </c>
      <c r="S355">
        <v>183.1</v>
      </c>
      <c r="T355">
        <v>176.2</v>
      </c>
      <c r="U355">
        <v>182.1</v>
      </c>
      <c r="V355">
        <v>171.8</v>
      </c>
      <c r="W355">
        <v>181.3</v>
      </c>
      <c r="X355">
        <v>171.4</v>
      </c>
      <c r="Y355">
        <v>179.8</v>
      </c>
      <c r="Z355">
        <v>163</v>
      </c>
      <c r="AA355">
        <v>168.5</v>
      </c>
      <c r="AB355">
        <v>173.7</v>
      </c>
      <c r="AC355">
        <v>173.6</v>
      </c>
      <c r="AD355">
        <v>171.1</v>
      </c>
      <c r="AE355">
        <v>176.5</v>
      </c>
      <c r="AF355">
        <f>SUM(Table2[[#This Row],[Cereals and products]:[Food and beverages]])</f>
        <v>2296.8000000000002</v>
      </c>
      <c r="AG355">
        <f>SUM(Table2[[#This Row],[Housing]:[Household goods and services]],Table2[[#This Row],[Transport and communication]],Table2[[#This Row],[Education]])</f>
        <v>861.2</v>
      </c>
      <c r="AH355">
        <f>SUM(Table2[[#This Row],[Clothing]:[Clothing and footwear]])</f>
        <v>541.4</v>
      </c>
      <c r="AI355">
        <f>SUM(Table2[[#This Row],[Pan, tobacco and intoxicants]],Table2[[#This Row],[Recreation and amusement]],Table2[[#This Row],[Personal care and effects]])</f>
        <v>539</v>
      </c>
    </row>
    <row r="356" spans="1:35" x14ac:dyDescent="0.25">
      <c r="A356" t="s">
        <v>30</v>
      </c>
      <c r="B356">
        <v>2022</v>
      </c>
      <c r="C356" t="s">
        <v>55</v>
      </c>
      <c r="D356" s="2">
        <v>44896</v>
      </c>
      <c r="E356">
        <v>168.8</v>
      </c>
      <c r="F356">
        <v>206.9</v>
      </c>
      <c r="G356">
        <v>189.1</v>
      </c>
      <c r="H356">
        <v>173.4</v>
      </c>
      <c r="I356">
        <v>193.9</v>
      </c>
      <c r="J356">
        <v>156.69999999999999</v>
      </c>
      <c r="K356">
        <v>150.19999999999999</v>
      </c>
      <c r="L356">
        <v>170.5</v>
      </c>
      <c r="M356">
        <v>121.2</v>
      </c>
      <c r="N356">
        <v>207.5</v>
      </c>
      <c r="O356">
        <v>176.8</v>
      </c>
      <c r="P356">
        <v>187.7</v>
      </c>
      <c r="Q356">
        <v>174.4</v>
      </c>
      <c r="R356">
        <v>195.9</v>
      </c>
      <c r="S356">
        <v>188.1</v>
      </c>
      <c r="T356">
        <v>185.9</v>
      </c>
      <c r="U356">
        <v>187.8</v>
      </c>
      <c r="V356">
        <v>170.7</v>
      </c>
      <c r="W356">
        <v>182.8</v>
      </c>
      <c r="X356">
        <v>176.4</v>
      </c>
      <c r="Y356">
        <v>183.5</v>
      </c>
      <c r="Z356">
        <v>167.8</v>
      </c>
      <c r="AA356">
        <v>171.2</v>
      </c>
      <c r="AB356">
        <v>177.3</v>
      </c>
      <c r="AC356">
        <v>175.7</v>
      </c>
      <c r="AD356">
        <v>175.5</v>
      </c>
      <c r="AE356">
        <v>177.1</v>
      </c>
      <c r="AF356">
        <f>SUM(Table2[[#This Row],[Cereals and products]:[Food and beverages]])</f>
        <v>2277.1</v>
      </c>
      <c r="AG356">
        <f>SUM(Table2[[#This Row],[Housing]:[Household goods and services]],Table2[[#This Row],[Transport and communication]],Table2[[#This Row],[Education]])</f>
        <v>875</v>
      </c>
      <c r="AH356">
        <f>SUM(Table2[[#This Row],[Clothing]:[Clothing and footwear]])</f>
        <v>561.79999999999995</v>
      </c>
      <c r="AI356">
        <f>SUM(Table2[[#This Row],[Pan, tobacco and intoxicants]],Table2[[#This Row],[Recreation and amusement]],Table2[[#This Row],[Personal care and effects]])</f>
        <v>542.79999999999995</v>
      </c>
    </row>
    <row r="357" spans="1:35" x14ac:dyDescent="0.25">
      <c r="A357" t="s">
        <v>33</v>
      </c>
      <c r="B357">
        <v>2022</v>
      </c>
      <c r="C357" t="s">
        <v>55</v>
      </c>
      <c r="D357" s="2">
        <v>44896</v>
      </c>
      <c r="E357">
        <v>170.2</v>
      </c>
      <c r="F357">
        <v>212.9</v>
      </c>
      <c r="G357">
        <v>191.9</v>
      </c>
      <c r="H357">
        <v>173.9</v>
      </c>
      <c r="I357">
        <v>179.1</v>
      </c>
      <c r="J357">
        <v>159.5</v>
      </c>
      <c r="K357">
        <v>178.7</v>
      </c>
      <c r="L357">
        <v>171.3</v>
      </c>
      <c r="M357">
        <v>123.1</v>
      </c>
      <c r="N357">
        <v>200.5</v>
      </c>
      <c r="O357">
        <v>162.80000000000001</v>
      </c>
      <c r="P357">
        <v>193.3</v>
      </c>
      <c r="Q357">
        <v>178.6</v>
      </c>
      <c r="R357">
        <v>201.1</v>
      </c>
      <c r="S357">
        <v>177.7</v>
      </c>
      <c r="T357">
        <v>164.5</v>
      </c>
      <c r="U357">
        <v>175.7</v>
      </c>
      <c r="V357">
        <v>170.7</v>
      </c>
      <c r="W357">
        <v>180.6</v>
      </c>
      <c r="X357">
        <v>167.3</v>
      </c>
      <c r="Y357">
        <v>177.2</v>
      </c>
      <c r="Z357">
        <v>159.4</v>
      </c>
      <c r="AA357">
        <v>167.1</v>
      </c>
      <c r="AB357">
        <v>171.8</v>
      </c>
      <c r="AC357">
        <v>176</v>
      </c>
      <c r="AD357">
        <v>168.2</v>
      </c>
      <c r="AE357">
        <v>174.1</v>
      </c>
      <c r="AF357">
        <f>SUM(Table2[[#This Row],[Cereals and products]:[Food and beverages]])</f>
        <v>2295.7999999999997</v>
      </c>
      <c r="AG357">
        <f>SUM(Table2[[#This Row],[Housing]:[Household goods and services]],Table2[[#This Row],[Transport and communication]],Table2[[#This Row],[Education]])</f>
        <v>849.8</v>
      </c>
      <c r="AH357">
        <f>SUM(Table2[[#This Row],[Clothing]:[Clothing and footwear]])</f>
        <v>517.9</v>
      </c>
      <c r="AI357">
        <f>SUM(Table2[[#This Row],[Pan, tobacco and intoxicants]],Table2[[#This Row],[Recreation and amusement]],Table2[[#This Row],[Personal care and effects]])</f>
        <v>544.20000000000005</v>
      </c>
    </row>
    <row r="358" spans="1:35" x14ac:dyDescent="0.25">
      <c r="A358" t="s">
        <v>35</v>
      </c>
      <c r="B358">
        <v>2022</v>
      </c>
      <c r="C358" t="s">
        <v>55</v>
      </c>
      <c r="D358" s="2">
        <v>44896</v>
      </c>
      <c r="E358">
        <v>169.2</v>
      </c>
      <c r="F358">
        <v>209</v>
      </c>
      <c r="G358">
        <v>190.2</v>
      </c>
      <c r="H358">
        <v>173.6</v>
      </c>
      <c r="I358">
        <v>188.5</v>
      </c>
      <c r="J358">
        <v>158</v>
      </c>
      <c r="K358">
        <v>159.9</v>
      </c>
      <c r="L358">
        <v>170.8</v>
      </c>
      <c r="M358">
        <v>121.8</v>
      </c>
      <c r="N358">
        <v>205.2</v>
      </c>
      <c r="O358">
        <v>171</v>
      </c>
      <c r="P358">
        <v>190.3</v>
      </c>
      <c r="Q358">
        <v>175.9</v>
      </c>
      <c r="R358">
        <v>197.3</v>
      </c>
      <c r="S358">
        <v>184</v>
      </c>
      <c r="T358">
        <v>177</v>
      </c>
      <c r="U358">
        <v>183</v>
      </c>
      <c r="V358">
        <v>170.7</v>
      </c>
      <c r="W358">
        <v>182</v>
      </c>
      <c r="X358">
        <v>172.1</v>
      </c>
      <c r="Y358">
        <v>181.1</v>
      </c>
      <c r="Z358">
        <v>163.4</v>
      </c>
      <c r="AA358">
        <v>168.9</v>
      </c>
      <c r="AB358">
        <v>174.1</v>
      </c>
      <c r="AC358">
        <v>175.8</v>
      </c>
      <c r="AD358">
        <v>172</v>
      </c>
      <c r="AE358">
        <v>175.7</v>
      </c>
      <c r="AF358">
        <f>SUM(Table2[[#This Row],[Cereals and products]:[Food and beverages]])</f>
        <v>2283.4</v>
      </c>
      <c r="AG358">
        <f>SUM(Table2[[#This Row],[Housing]:[Household goods and services]],Table2[[#This Row],[Transport and communication]],Table2[[#This Row],[Education]])</f>
        <v>862.3</v>
      </c>
      <c r="AH358">
        <f>SUM(Table2[[#This Row],[Clothing]:[Clothing and footwear]])</f>
        <v>544</v>
      </c>
      <c r="AI358">
        <f>SUM(Table2[[#This Row],[Pan, tobacco and intoxicants]],Table2[[#This Row],[Recreation and amusement]],Table2[[#This Row],[Personal care and effects]])</f>
        <v>542</v>
      </c>
    </row>
    <row r="359" spans="1:35" x14ac:dyDescent="0.25">
      <c r="A359" t="s">
        <v>30</v>
      </c>
      <c r="B359">
        <v>2023</v>
      </c>
      <c r="C359" t="s">
        <v>31</v>
      </c>
      <c r="D359" s="2">
        <v>44927</v>
      </c>
      <c r="E359">
        <v>174</v>
      </c>
      <c r="F359">
        <v>208.3</v>
      </c>
      <c r="G359">
        <v>192.9</v>
      </c>
      <c r="H359">
        <v>174.3</v>
      </c>
      <c r="I359">
        <v>192.6</v>
      </c>
      <c r="J359">
        <v>156.30000000000001</v>
      </c>
      <c r="K359">
        <v>142.9</v>
      </c>
      <c r="L359">
        <v>170.7</v>
      </c>
      <c r="M359">
        <v>120.3</v>
      </c>
      <c r="N359">
        <v>210.5</v>
      </c>
      <c r="O359">
        <v>176.9</v>
      </c>
      <c r="P359">
        <v>188.5</v>
      </c>
      <c r="Q359">
        <v>175</v>
      </c>
      <c r="R359">
        <v>196.9</v>
      </c>
      <c r="S359">
        <v>189</v>
      </c>
      <c r="T359">
        <v>186.3</v>
      </c>
      <c r="U359">
        <v>188.6</v>
      </c>
      <c r="V359">
        <v>172.1</v>
      </c>
      <c r="W359">
        <v>183.2</v>
      </c>
      <c r="X359">
        <v>177.2</v>
      </c>
      <c r="Y359">
        <v>184.7</v>
      </c>
      <c r="Z359">
        <v>168.2</v>
      </c>
      <c r="AA359">
        <v>171.8</v>
      </c>
      <c r="AB359">
        <v>177.8</v>
      </c>
      <c r="AC359">
        <v>178.4</v>
      </c>
      <c r="AD359">
        <v>176.5</v>
      </c>
      <c r="AE359">
        <v>177.8</v>
      </c>
      <c r="AF359">
        <f>SUM(Table2[[#This Row],[Cereals and products]:[Food and beverages]])</f>
        <v>2283.2000000000003</v>
      </c>
      <c r="AG359">
        <f>SUM(Table2[[#This Row],[Housing]:[Household goods and services]],Table2[[#This Row],[Transport and communication]],Table2[[#This Row],[Education]])</f>
        <v>878.5</v>
      </c>
      <c r="AH359">
        <f>SUM(Table2[[#This Row],[Clothing]:[Clothing and footwear]])</f>
        <v>563.9</v>
      </c>
      <c r="AI359">
        <f>SUM(Table2[[#This Row],[Pan, tobacco and intoxicants]],Table2[[#This Row],[Recreation and amusement]],Table2[[#This Row],[Personal care and effects]])</f>
        <v>547.1</v>
      </c>
    </row>
    <row r="360" spans="1:35" x14ac:dyDescent="0.25">
      <c r="A360" t="s">
        <v>33</v>
      </c>
      <c r="B360">
        <v>2023</v>
      </c>
      <c r="C360" t="s">
        <v>31</v>
      </c>
      <c r="D360" s="2">
        <v>44927</v>
      </c>
      <c r="E360">
        <v>173.3</v>
      </c>
      <c r="F360">
        <v>215.2</v>
      </c>
      <c r="G360">
        <v>197</v>
      </c>
      <c r="H360">
        <v>175.2</v>
      </c>
      <c r="I360">
        <v>178</v>
      </c>
      <c r="J360">
        <v>160.5</v>
      </c>
      <c r="K360">
        <v>175.3</v>
      </c>
      <c r="L360">
        <v>171.2</v>
      </c>
      <c r="M360">
        <v>122.7</v>
      </c>
      <c r="N360">
        <v>204.3</v>
      </c>
      <c r="O360">
        <v>163.69999999999999</v>
      </c>
      <c r="P360">
        <v>194.3</v>
      </c>
      <c r="Q360">
        <v>179.5</v>
      </c>
      <c r="R360">
        <v>201.6</v>
      </c>
      <c r="S360">
        <v>178.7</v>
      </c>
      <c r="T360">
        <v>165.3</v>
      </c>
      <c r="U360">
        <v>176.6</v>
      </c>
      <c r="V360">
        <v>172.1</v>
      </c>
      <c r="W360">
        <v>180.1</v>
      </c>
      <c r="X360">
        <v>168</v>
      </c>
      <c r="Y360">
        <v>178.5</v>
      </c>
      <c r="Z360">
        <v>159.5</v>
      </c>
      <c r="AA360">
        <v>167.8</v>
      </c>
      <c r="AB360">
        <v>171.8</v>
      </c>
      <c r="AC360">
        <v>178.8</v>
      </c>
      <c r="AD360">
        <v>168.9</v>
      </c>
      <c r="AE360">
        <v>174.9</v>
      </c>
      <c r="AF360">
        <f>SUM(Table2[[#This Row],[Cereals and products]:[Food and beverages]])</f>
        <v>2310.2000000000003</v>
      </c>
      <c r="AG360">
        <f>SUM(Table2[[#This Row],[Housing]:[Household goods and services]],Table2[[#This Row],[Transport and communication]],Table2[[#This Row],[Education]])</f>
        <v>851.5</v>
      </c>
      <c r="AH360">
        <f>SUM(Table2[[#This Row],[Clothing]:[Clothing and footwear]])</f>
        <v>520.6</v>
      </c>
      <c r="AI360">
        <f>SUM(Table2[[#This Row],[Pan, tobacco and intoxicants]],Table2[[#This Row],[Recreation and amusement]],Table2[[#This Row],[Personal care and effects]])</f>
        <v>548.20000000000005</v>
      </c>
    </row>
    <row r="361" spans="1:35" x14ac:dyDescent="0.25">
      <c r="A361" t="s">
        <v>35</v>
      </c>
      <c r="B361">
        <v>2023</v>
      </c>
      <c r="C361" t="s">
        <v>31</v>
      </c>
      <c r="D361" s="2">
        <v>44927</v>
      </c>
      <c r="E361">
        <v>173.8</v>
      </c>
      <c r="F361">
        <v>210.7</v>
      </c>
      <c r="G361">
        <v>194.5</v>
      </c>
      <c r="H361">
        <v>174.6</v>
      </c>
      <c r="I361">
        <v>187.2</v>
      </c>
      <c r="J361">
        <v>158.30000000000001</v>
      </c>
      <c r="K361">
        <v>153.9</v>
      </c>
      <c r="L361">
        <v>170.9</v>
      </c>
      <c r="M361">
        <v>121.1</v>
      </c>
      <c r="N361">
        <v>208.4</v>
      </c>
      <c r="O361">
        <v>171.4</v>
      </c>
      <c r="P361">
        <v>191.2</v>
      </c>
      <c r="Q361">
        <v>176.7</v>
      </c>
      <c r="R361">
        <v>198.2</v>
      </c>
      <c r="S361">
        <v>184.9</v>
      </c>
      <c r="T361">
        <v>177.6</v>
      </c>
      <c r="U361">
        <v>183.8</v>
      </c>
      <c r="V361">
        <v>172.1</v>
      </c>
      <c r="W361">
        <v>182</v>
      </c>
      <c r="X361">
        <v>172.9</v>
      </c>
      <c r="Y361">
        <v>182.3</v>
      </c>
      <c r="Z361">
        <v>163.6</v>
      </c>
      <c r="AA361">
        <v>169.5</v>
      </c>
      <c r="AB361">
        <v>174.3</v>
      </c>
      <c r="AC361">
        <v>178.6</v>
      </c>
      <c r="AD361">
        <v>172.8</v>
      </c>
      <c r="AE361">
        <v>176.5</v>
      </c>
      <c r="AF361">
        <f>SUM(Table2[[#This Row],[Cereals and products]:[Food and beverages]])</f>
        <v>2292.6999999999998</v>
      </c>
      <c r="AG361">
        <f>SUM(Table2[[#This Row],[Housing]:[Household goods and services]],Table2[[#This Row],[Transport and communication]],Table2[[#This Row],[Education]])</f>
        <v>864.90000000000009</v>
      </c>
      <c r="AH361">
        <f>SUM(Table2[[#This Row],[Clothing]:[Clothing and footwear]])</f>
        <v>546.29999999999995</v>
      </c>
      <c r="AI361">
        <f>SUM(Table2[[#This Row],[Pan, tobacco and intoxicants]],Table2[[#This Row],[Recreation and amusement]],Table2[[#This Row],[Personal care and effects]])</f>
        <v>546.29999999999995</v>
      </c>
    </row>
    <row r="362" spans="1:35" x14ac:dyDescent="0.25">
      <c r="A362" t="s">
        <v>30</v>
      </c>
      <c r="B362">
        <v>2023</v>
      </c>
      <c r="C362" t="s">
        <v>36</v>
      </c>
      <c r="D362" s="2">
        <v>44958</v>
      </c>
      <c r="E362">
        <v>174.2</v>
      </c>
      <c r="F362">
        <v>205.2</v>
      </c>
      <c r="G362">
        <v>173.9</v>
      </c>
      <c r="H362">
        <v>177</v>
      </c>
      <c r="I362">
        <v>183.4</v>
      </c>
      <c r="J362">
        <v>167.2</v>
      </c>
      <c r="K362">
        <v>140.9</v>
      </c>
      <c r="L362">
        <v>170.4</v>
      </c>
      <c r="M362">
        <v>119.1</v>
      </c>
      <c r="N362">
        <v>212.1</v>
      </c>
      <c r="O362">
        <v>177.6</v>
      </c>
      <c r="P362">
        <v>189.9</v>
      </c>
      <c r="Q362">
        <v>174.8</v>
      </c>
      <c r="R362">
        <v>198.3</v>
      </c>
      <c r="S362">
        <v>190</v>
      </c>
      <c r="T362">
        <v>187</v>
      </c>
      <c r="U362">
        <v>189.6</v>
      </c>
      <c r="V362">
        <v>173.5</v>
      </c>
      <c r="W362">
        <v>181.6</v>
      </c>
      <c r="X362">
        <v>178.6</v>
      </c>
      <c r="Y362">
        <v>186.6</v>
      </c>
      <c r="Z362">
        <v>169</v>
      </c>
      <c r="AA362">
        <v>172.8</v>
      </c>
      <c r="AB362">
        <v>178.5</v>
      </c>
      <c r="AC362">
        <v>180.7</v>
      </c>
      <c r="AD362">
        <v>177.9</v>
      </c>
      <c r="AE362">
        <v>178</v>
      </c>
      <c r="AF362">
        <f>SUM(Table2[[#This Row],[Cereals and products]:[Food and beverages]])</f>
        <v>2265.6999999999998</v>
      </c>
      <c r="AG362">
        <f>SUM(Table2[[#This Row],[Housing]:[Household goods and services]],Table2[[#This Row],[Transport and communication]],Table2[[#This Row],[Education]])</f>
        <v>881.2</v>
      </c>
      <c r="AH362">
        <f>SUM(Table2[[#This Row],[Clothing]:[Clothing and footwear]])</f>
        <v>566.6</v>
      </c>
      <c r="AI362">
        <f>SUM(Table2[[#This Row],[Pan, tobacco and intoxicants]],Table2[[#This Row],[Recreation and amusement]],Table2[[#This Row],[Personal care and effects]])</f>
        <v>551.79999999999995</v>
      </c>
    </row>
    <row r="363" spans="1:35" x14ac:dyDescent="0.25">
      <c r="A363" t="s">
        <v>33</v>
      </c>
      <c r="B363">
        <v>2023</v>
      </c>
      <c r="C363" t="s">
        <v>36</v>
      </c>
      <c r="D363" s="2">
        <v>44958</v>
      </c>
      <c r="E363">
        <v>174.7</v>
      </c>
      <c r="F363">
        <v>212.2</v>
      </c>
      <c r="G363">
        <v>177.2</v>
      </c>
      <c r="H363">
        <v>177.9</v>
      </c>
      <c r="I363">
        <v>172.2</v>
      </c>
      <c r="J363">
        <v>172.1</v>
      </c>
      <c r="K363">
        <v>175.8</v>
      </c>
      <c r="L363">
        <v>172.2</v>
      </c>
      <c r="M363">
        <v>121.9</v>
      </c>
      <c r="N363">
        <v>204.8</v>
      </c>
      <c r="O363">
        <v>164.9</v>
      </c>
      <c r="P363">
        <v>196.6</v>
      </c>
      <c r="Q363">
        <v>180.7</v>
      </c>
      <c r="R363">
        <v>202.7</v>
      </c>
      <c r="S363">
        <v>180.3</v>
      </c>
      <c r="T363">
        <v>167</v>
      </c>
      <c r="U363">
        <v>178.2</v>
      </c>
      <c r="V363">
        <v>173.5</v>
      </c>
      <c r="W363">
        <v>182.8</v>
      </c>
      <c r="X363">
        <v>169.2</v>
      </c>
      <c r="Y363">
        <v>180.8</v>
      </c>
      <c r="Z363">
        <v>159.80000000000001</v>
      </c>
      <c r="AA363">
        <v>168.4</v>
      </c>
      <c r="AB363">
        <v>172.5</v>
      </c>
      <c r="AC363">
        <v>181.4</v>
      </c>
      <c r="AD363">
        <v>170</v>
      </c>
      <c r="AE363">
        <v>176.3</v>
      </c>
      <c r="AF363">
        <f>SUM(Table2[[#This Row],[Cereals and products]:[Food and beverages]])</f>
        <v>2303.1999999999998</v>
      </c>
      <c r="AG363">
        <f>SUM(Table2[[#This Row],[Housing]:[Household goods and services]],Table2[[#This Row],[Transport and communication]],Table2[[#This Row],[Education]])</f>
        <v>857.8</v>
      </c>
      <c r="AH363">
        <f>SUM(Table2[[#This Row],[Clothing]:[Clothing and footwear]])</f>
        <v>525.5</v>
      </c>
      <c r="AI363">
        <f>SUM(Table2[[#This Row],[Pan, tobacco and intoxicants]],Table2[[#This Row],[Recreation and amusement]],Table2[[#This Row],[Personal care and effects]])</f>
        <v>552.5</v>
      </c>
    </row>
    <row r="364" spans="1:35" x14ac:dyDescent="0.25">
      <c r="A364" t="s">
        <v>35</v>
      </c>
      <c r="B364">
        <v>2023</v>
      </c>
      <c r="C364" t="s">
        <v>36</v>
      </c>
      <c r="D364" s="2">
        <v>44958</v>
      </c>
      <c r="E364">
        <v>174.4</v>
      </c>
      <c r="F364">
        <v>207.7</v>
      </c>
      <c r="G364">
        <v>175.2</v>
      </c>
      <c r="H364">
        <v>177.3</v>
      </c>
      <c r="I364">
        <v>179.3</v>
      </c>
      <c r="J364">
        <v>169.5</v>
      </c>
      <c r="K364">
        <v>152.69999999999999</v>
      </c>
      <c r="L364">
        <v>171</v>
      </c>
      <c r="M364">
        <v>120</v>
      </c>
      <c r="N364">
        <v>209.7</v>
      </c>
      <c r="O364">
        <v>172.3</v>
      </c>
      <c r="P364">
        <v>193</v>
      </c>
      <c r="Q364">
        <v>177</v>
      </c>
      <c r="R364">
        <v>199.5</v>
      </c>
      <c r="S364">
        <v>186.2</v>
      </c>
      <c r="T364">
        <v>178.7</v>
      </c>
      <c r="U364">
        <v>185.1</v>
      </c>
      <c r="V364">
        <v>173.5</v>
      </c>
      <c r="W364">
        <v>182.1</v>
      </c>
      <c r="X364">
        <v>174.2</v>
      </c>
      <c r="Y364">
        <v>184.4</v>
      </c>
      <c r="Z364">
        <v>164.2</v>
      </c>
      <c r="AA364">
        <v>170.3</v>
      </c>
      <c r="AB364">
        <v>175</v>
      </c>
      <c r="AC364">
        <v>181</v>
      </c>
      <c r="AD364">
        <v>174.1</v>
      </c>
      <c r="AE364">
        <v>177.2</v>
      </c>
      <c r="AF364">
        <f>SUM(Table2[[#This Row],[Cereals and products]:[Food and beverages]])</f>
        <v>2279.1</v>
      </c>
      <c r="AG364">
        <f>SUM(Table2[[#This Row],[Housing]:[Household goods and services]],Table2[[#This Row],[Transport and communication]],Table2[[#This Row],[Education]])</f>
        <v>869</v>
      </c>
      <c r="AH364">
        <f>SUM(Table2[[#This Row],[Clothing]:[Clothing and footwear]])</f>
        <v>550</v>
      </c>
      <c r="AI364">
        <f>SUM(Table2[[#This Row],[Pan, tobacco and intoxicants]],Table2[[#This Row],[Recreation and amusement]],Table2[[#This Row],[Personal care and effects]])</f>
        <v>550.79999999999995</v>
      </c>
    </row>
    <row r="365" spans="1:35" x14ac:dyDescent="0.25">
      <c r="A365" t="s">
        <v>30</v>
      </c>
      <c r="B365">
        <v>2023</v>
      </c>
      <c r="C365" t="s">
        <v>38</v>
      </c>
      <c r="D365" s="2">
        <v>44986</v>
      </c>
      <c r="E365">
        <v>174.3</v>
      </c>
      <c r="F365">
        <v>205.2</v>
      </c>
      <c r="G365">
        <v>173.9</v>
      </c>
      <c r="H365">
        <v>177</v>
      </c>
      <c r="I365">
        <v>183.3</v>
      </c>
      <c r="J365">
        <v>167.2</v>
      </c>
      <c r="K365">
        <v>140.9</v>
      </c>
      <c r="L365">
        <v>170.5</v>
      </c>
      <c r="M365">
        <v>119.1</v>
      </c>
      <c r="N365">
        <v>212.1</v>
      </c>
      <c r="O365">
        <v>177.6</v>
      </c>
      <c r="P365">
        <v>189.9</v>
      </c>
      <c r="Q365">
        <v>174.8</v>
      </c>
      <c r="R365">
        <v>198.4</v>
      </c>
      <c r="S365">
        <v>190</v>
      </c>
      <c r="T365">
        <v>187</v>
      </c>
      <c r="U365">
        <v>189.6</v>
      </c>
      <c r="V365">
        <v>173.5</v>
      </c>
      <c r="W365">
        <v>181.4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  <c r="AF365">
        <f>SUM(Table2[[#This Row],[Cereals and products]:[Food and beverages]])</f>
        <v>2265.8000000000002</v>
      </c>
      <c r="AG365">
        <f>SUM(Table2[[#This Row],[Housing]:[Household goods and services]],Table2[[#This Row],[Transport and communication]],Table2[[#This Row],[Education]])</f>
        <v>881</v>
      </c>
      <c r="AH365">
        <f>SUM(Table2[[#This Row],[Clothing]:[Clothing and footwear]])</f>
        <v>566.6</v>
      </c>
      <c r="AI365">
        <f>SUM(Table2[[#This Row],[Pan, tobacco and intoxicants]],Table2[[#This Row],[Recreation and amusement]],Table2[[#This Row],[Personal care and effects]])</f>
        <v>551.90000000000009</v>
      </c>
    </row>
    <row r="366" spans="1:35" x14ac:dyDescent="0.25">
      <c r="A366" t="s">
        <v>33</v>
      </c>
      <c r="B366">
        <v>2023</v>
      </c>
      <c r="C366" t="s">
        <v>38</v>
      </c>
      <c r="D366" s="2">
        <v>44986</v>
      </c>
      <c r="E366">
        <v>174.7</v>
      </c>
      <c r="F366">
        <v>212.2</v>
      </c>
      <c r="G366">
        <v>177.2</v>
      </c>
      <c r="H366">
        <v>177.9</v>
      </c>
      <c r="I366">
        <v>172.2</v>
      </c>
      <c r="J366">
        <v>172.1</v>
      </c>
      <c r="K366">
        <v>175.9</v>
      </c>
      <c r="L366">
        <v>172.2</v>
      </c>
      <c r="M366">
        <v>121.9</v>
      </c>
      <c r="N366">
        <v>204.8</v>
      </c>
      <c r="O366">
        <v>164.9</v>
      </c>
      <c r="P366">
        <v>196.6</v>
      </c>
      <c r="Q366">
        <v>180.8</v>
      </c>
      <c r="R366">
        <v>202.7</v>
      </c>
      <c r="S366">
        <v>180.2</v>
      </c>
      <c r="T366">
        <v>167</v>
      </c>
      <c r="U366">
        <v>178.2</v>
      </c>
      <c r="V366">
        <v>173.5</v>
      </c>
      <c r="W366">
        <v>182.6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181.5</v>
      </c>
      <c r="AD366">
        <v>170</v>
      </c>
      <c r="AE366">
        <v>176.3</v>
      </c>
      <c r="AF366">
        <f>SUM(Table2[[#This Row],[Cereals and products]:[Food and beverages]])</f>
        <v>2303.4</v>
      </c>
      <c r="AG366">
        <f>SUM(Table2[[#This Row],[Housing]:[Household goods and services]],Table2[[#This Row],[Transport and communication]],Table2[[#This Row],[Education]])</f>
        <v>857.59999999999991</v>
      </c>
      <c r="AH366">
        <f>SUM(Table2[[#This Row],[Clothing]:[Clothing and footwear]])</f>
        <v>525.4</v>
      </c>
      <c r="AI366">
        <f>SUM(Table2[[#This Row],[Pan, tobacco and intoxicants]],Table2[[#This Row],[Recreation and amusement]],Table2[[#This Row],[Personal care and effects]])</f>
        <v>552.6</v>
      </c>
    </row>
    <row r="367" spans="1:35" x14ac:dyDescent="0.25">
      <c r="A367" t="s">
        <v>35</v>
      </c>
      <c r="B367">
        <v>2023</v>
      </c>
      <c r="C367" t="s">
        <v>38</v>
      </c>
      <c r="D367" s="2">
        <v>44986</v>
      </c>
      <c r="E367">
        <v>174.4</v>
      </c>
      <c r="F367">
        <v>207.7</v>
      </c>
      <c r="G367">
        <v>175.2</v>
      </c>
      <c r="H367">
        <v>177.3</v>
      </c>
      <c r="I367">
        <v>179.2</v>
      </c>
      <c r="J367">
        <v>169.5</v>
      </c>
      <c r="K367">
        <v>152.80000000000001</v>
      </c>
      <c r="L367">
        <v>171.1</v>
      </c>
      <c r="M367">
        <v>120</v>
      </c>
      <c r="N367">
        <v>209.7</v>
      </c>
      <c r="O367">
        <v>172.3</v>
      </c>
      <c r="P367">
        <v>193</v>
      </c>
      <c r="Q367">
        <v>177</v>
      </c>
      <c r="R367">
        <v>199.5</v>
      </c>
      <c r="S367">
        <v>186.1</v>
      </c>
      <c r="T367">
        <v>178.7</v>
      </c>
      <c r="U367">
        <v>185.1</v>
      </c>
      <c r="V367">
        <v>173.5</v>
      </c>
      <c r="W367">
        <v>181.9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  <c r="AF367">
        <f>SUM(Table2[[#This Row],[Cereals and products]:[Food and beverages]])</f>
        <v>2279.1999999999998</v>
      </c>
      <c r="AG367">
        <f>SUM(Table2[[#This Row],[Housing]:[Household goods and services]],Table2[[#This Row],[Transport and communication]],Table2[[#This Row],[Education]])</f>
        <v>868.8</v>
      </c>
      <c r="AH367">
        <f>SUM(Table2[[#This Row],[Clothing]:[Clothing and footwear]])</f>
        <v>549.9</v>
      </c>
      <c r="AI367">
        <f>SUM(Table2[[#This Row],[Pan, tobacco and intoxicants]],Table2[[#This Row],[Recreation and amusement]],Table2[[#This Row],[Personal care and effects]])</f>
        <v>550.79999999999995</v>
      </c>
    </row>
    <row r="368" spans="1:35" x14ac:dyDescent="0.25">
      <c r="A368" t="s">
        <v>30</v>
      </c>
      <c r="B368">
        <v>2023</v>
      </c>
      <c r="C368" t="s">
        <v>39</v>
      </c>
      <c r="D368" s="2">
        <v>45017</v>
      </c>
      <c r="E368">
        <v>173.3</v>
      </c>
      <c r="F368">
        <v>206.9</v>
      </c>
      <c r="G368">
        <v>167.9</v>
      </c>
      <c r="H368">
        <v>178.2</v>
      </c>
      <c r="I368">
        <v>178.5</v>
      </c>
      <c r="J368">
        <v>173.7</v>
      </c>
      <c r="K368">
        <v>142.80000000000001</v>
      </c>
      <c r="L368">
        <v>172.8</v>
      </c>
      <c r="M368">
        <v>120.4</v>
      </c>
      <c r="N368">
        <v>215.5</v>
      </c>
      <c r="O368">
        <v>178.2</v>
      </c>
      <c r="P368">
        <v>190.5</v>
      </c>
      <c r="Q368">
        <v>175.5</v>
      </c>
      <c r="R368">
        <v>199.5</v>
      </c>
      <c r="S368">
        <v>190.7</v>
      </c>
      <c r="T368">
        <v>187.3</v>
      </c>
      <c r="U368">
        <v>190.2</v>
      </c>
      <c r="V368">
        <v>175.2</v>
      </c>
      <c r="W368">
        <v>181.5</v>
      </c>
      <c r="X368">
        <v>179.1</v>
      </c>
      <c r="Y368">
        <v>187.2</v>
      </c>
      <c r="Z368">
        <v>169.4</v>
      </c>
      <c r="AA368">
        <v>173.2</v>
      </c>
      <c r="AB368">
        <v>179.4</v>
      </c>
      <c r="AC368">
        <v>183.8</v>
      </c>
      <c r="AD368">
        <v>178.9</v>
      </c>
      <c r="AE368">
        <v>178.8</v>
      </c>
      <c r="AF368">
        <f>SUM(Table2[[#This Row],[Cereals and products]:[Food and beverages]])</f>
        <v>2274.1999999999998</v>
      </c>
      <c r="AG368">
        <f>SUM(Table2[[#This Row],[Housing]:[Household goods and services]],Table2[[#This Row],[Transport and communication]],Table2[[#This Row],[Education]])</f>
        <v>884.59999999999991</v>
      </c>
      <c r="AH368">
        <f>SUM(Table2[[#This Row],[Clothing]:[Clothing and footwear]])</f>
        <v>568.20000000000005</v>
      </c>
      <c r="AI368">
        <f>SUM(Table2[[#This Row],[Pan, tobacco and intoxicants]],Table2[[#This Row],[Recreation and amusement]],Table2[[#This Row],[Personal care and effects]])</f>
        <v>556.5</v>
      </c>
    </row>
    <row r="369" spans="1:35" x14ac:dyDescent="0.25">
      <c r="A369" t="s">
        <v>33</v>
      </c>
      <c r="B369">
        <v>2023</v>
      </c>
      <c r="C369" t="s">
        <v>39</v>
      </c>
      <c r="D369" s="2">
        <v>45017</v>
      </c>
      <c r="E369">
        <v>174.8</v>
      </c>
      <c r="F369">
        <v>213.7</v>
      </c>
      <c r="G369">
        <v>172.4</v>
      </c>
      <c r="H369">
        <v>178.8</v>
      </c>
      <c r="I369">
        <v>168.7</v>
      </c>
      <c r="J369">
        <v>179.2</v>
      </c>
      <c r="K369">
        <v>179.9</v>
      </c>
      <c r="L369">
        <v>174.7</v>
      </c>
      <c r="M369">
        <v>123.1</v>
      </c>
      <c r="N369">
        <v>207.8</v>
      </c>
      <c r="O369">
        <v>165.5</v>
      </c>
      <c r="P369">
        <v>197</v>
      </c>
      <c r="Q369">
        <v>182.1</v>
      </c>
      <c r="R369">
        <v>203.5</v>
      </c>
      <c r="S369">
        <v>181</v>
      </c>
      <c r="T369">
        <v>167.7</v>
      </c>
      <c r="U369">
        <v>178.9</v>
      </c>
      <c r="V369">
        <v>175.2</v>
      </c>
      <c r="W369">
        <v>182.1</v>
      </c>
      <c r="X369">
        <v>169.6</v>
      </c>
      <c r="Y369">
        <v>181.5</v>
      </c>
      <c r="Z369">
        <v>160.1</v>
      </c>
      <c r="AA369">
        <v>168.8</v>
      </c>
      <c r="AB369">
        <v>174.2</v>
      </c>
      <c r="AC369">
        <v>184.4</v>
      </c>
      <c r="AD369">
        <v>170.9</v>
      </c>
      <c r="AE369">
        <v>177.4</v>
      </c>
      <c r="AF369">
        <f>SUM(Table2[[#This Row],[Cereals and products]:[Food and beverages]])</f>
        <v>2317.7000000000003</v>
      </c>
      <c r="AG369">
        <f>SUM(Table2[[#This Row],[Housing]:[Household goods and services]],Table2[[#This Row],[Transport and communication]],Table2[[#This Row],[Education]])</f>
        <v>861.2</v>
      </c>
      <c r="AH369">
        <f>SUM(Table2[[#This Row],[Clothing]:[Clothing and footwear]])</f>
        <v>527.6</v>
      </c>
      <c r="AI369">
        <f>SUM(Table2[[#This Row],[Pan, tobacco and intoxicants]],Table2[[#This Row],[Recreation and amusement]],Table2[[#This Row],[Personal care and effects]])</f>
        <v>556.70000000000005</v>
      </c>
    </row>
    <row r="370" spans="1:35" x14ac:dyDescent="0.25">
      <c r="A370" t="s">
        <v>35</v>
      </c>
      <c r="B370">
        <v>2023</v>
      </c>
      <c r="C370" t="s">
        <v>39</v>
      </c>
      <c r="D370" s="2">
        <v>45017</v>
      </c>
      <c r="E370">
        <v>173.8</v>
      </c>
      <c r="F370">
        <v>209.3</v>
      </c>
      <c r="G370">
        <v>169.6</v>
      </c>
      <c r="H370">
        <v>178.4</v>
      </c>
      <c r="I370">
        <v>174.9</v>
      </c>
      <c r="J370">
        <v>176.3</v>
      </c>
      <c r="K370">
        <v>155.4</v>
      </c>
      <c r="L370">
        <v>173.4</v>
      </c>
      <c r="M370">
        <v>121.3</v>
      </c>
      <c r="N370">
        <v>212.9</v>
      </c>
      <c r="O370">
        <v>172.9</v>
      </c>
      <c r="P370">
        <v>193.5</v>
      </c>
      <c r="Q370">
        <v>177.9</v>
      </c>
      <c r="R370">
        <v>200.6</v>
      </c>
      <c r="S370">
        <v>186.9</v>
      </c>
      <c r="T370">
        <v>179.2</v>
      </c>
      <c r="U370">
        <v>185.7</v>
      </c>
      <c r="V370">
        <v>175.2</v>
      </c>
      <c r="W370">
        <v>181.7</v>
      </c>
      <c r="X370">
        <v>174.6</v>
      </c>
      <c r="Y370">
        <v>185</v>
      </c>
      <c r="Z370">
        <v>164.5</v>
      </c>
      <c r="AA370">
        <v>170.7</v>
      </c>
      <c r="AB370">
        <v>176.4</v>
      </c>
      <c r="AC370">
        <v>184</v>
      </c>
      <c r="AD370">
        <v>175</v>
      </c>
      <c r="AE370">
        <v>178.1</v>
      </c>
      <c r="AF370">
        <f>SUM(Table2[[#This Row],[Cereals and products]:[Food and beverages]])</f>
        <v>2289.6000000000004</v>
      </c>
      <c r="AG370">
        <f>SUM(Table2[[#This Row],[Housing]:[Household goods and services]],Table2[[#This Row],[Transport and communication]],Table2[[#This Row],[Education]])</f>
        <v>872.4</v>
      </c>
      <c r="AH370">
        <f>SUM(Table2[[#This Row],[Clothing]:[Clothing and footwear]])</f>
        <v>551.79999999999995</v>
      </c>
      <c r="AI370">
        <f>SUM(Table2[[#This Row],[Pan, tobacco and intoxicants]],Table2[[#This Row],[Recreation and amusement]],Table2[[#This Row],[Personal care and effects]])</f>
        <v>555.29999999999995</v>
      </c>
    </row>
    <row r="371" spans="1:35" x14ac:dyDescent="0.25">
      <c r="A371" t="s">
        <v>30</v>
      </c>
      <c r="B371">
        <v>2023</v>
      </c>
      <c r="C371" t="s">
        <v>41</v>
      </c>
      <c r="D371" s="2">
        <v>45047</v>
      </c>
      <c r="E371">
        <v>173.2</v>
      </c>
      <c r="F371">
        <v>211.5</v>
      </c>
      <c r="G371">
        <v>171</v>
      </c>
      <c r="H371">
        <v>179.6</v>
      </c>
      <c r="I371">
        <v>173.3</v>
      </c>
      <c r="J371">
        <v>169</v>
      </c>
      <c r="K371">
        <v>148.69999999999999</v>
      </c>
      <c r="L371">
        <v>174.9</v>
      </c>
      <c r="M371">
        <v>121.9</v>
      </c>
      <c r="N371">
        <v>221</v>
      </c>
      <c r="O371">
        <v>178.7</v>
      </c>
      <c r="P371">
        <v>191.1</v>
      </c>
      <c r="Q371">
        <v>176.8</v>
      </c>
      <c r="R371">
        <v>199.9</v>
      </c>
      <c r="S371">
        <v>191.2</v>
      </c>
      <c r="T371">
        <v>187.9</v>
      </c>
      <c r="U371">
        <v>190.8</v>
      </c>
      <c r="V371">
        <v>175.6</v>
      </c>
      <c r="W371">
        <v>182.5</v>
      </c>
      <c r="X371">
        <v>179.8</v>
      </c>
      <c r="Y371">
        <v>187.8</v>
      </c>
      <c r="Z371">
        <v>169.7</v>
      </c>
      <c r="AA371">
        <v>173.8</v>
      </c>
      <c r="AB371">
        <v>180.3</v>
      </c>
      <c r="AC371">
        <v>184.9</v>
      </c>
      <c r="AD371">
        <v>179.5</v>
      </c>
      <c r="AE371">
        <v>179.8</v>
      </c>
      <c r="AF371">
        <f>SUM(Table2[[#This Row],[Cereals and products]:[Food and beverages]])</f>
        <v>2290.7000000000007</v>
      </c>
      <c r="AG371">
        <f>SUM(Table2[[#This Row],[Housing]:[Household goods and services]],Table2[[#This Row],[Transport and communication]],Table2[[#This Row],[Education]])</f>
        <v>887.90000000000009</v>
      </c>
      <c r="AH371">
        <f>SUM(Table2[[#This Row],[Clothing]:[Clothing and footwear]])</f>
        <v>569.90000000000009</v>
      </c>
      <c r="AI371">
        <f>SUM(Table2[[#This Row],[Pan, tobacco and intoxicants]],Table2[[#This Row],[Recreation and amusement]],Table2[[#This Row],[Personal care and effects]])</f>
        <v>558.6</v>
      </c>
    </row>
    <row r="372" spans="1:35" x14ac:dyDescent="0.25">
      <c r="A372" t="s">
        <v>33</v>
      </c>
      <c r="B372">
        <v>2023</v>
      </c>
      <c r="C372" t="s">
        <v>41</v>
      </c>
      <c r="D372" s="2">
        <v>45047</v>
      </c>
      <c r="E372">
        <v>174.7</v>
      </c>
      <c r="F372">
        <v>219.4</v>
      </c>
      <c r="G372">
        <v>176.7</v>
      </c>
      <c r="H372">
        <v>179.4</v>
      </c>
      <c r="I372">
        <v>164.4</v>
      </c>
      <c r="J372">
        <v>175.8</v>
      </c>
      <c r="K372">
        <v>185</v>
      </c>
      <c r="L372">
        <v>176.9</v>
      </c>
      <c r="M372">
        <v>124.2</v>
      </c>
      <c r="N372">
        <v>211.9</v>
      </c>
      <c r="O372">
        <v>165.9</v>
      </c>
      <c r="P372">
        <v>197.7</v>
      </c>
      <c r="Q372">
        <v>183.1</v>
      </c>
      <c r="R372">
        <v>204.2</v>
      </c>
      <c r="S372">
        <v>181.3</v>
      </c>
      <c r="T372">
        <v>168.1</v>
      </c>
      <c r="U372">
        <v>179.3</v>
      </c>
      <c r="V372">
        <v>175.6</v>
      </c>
      <c r="W372">
        <v>183.4</v>
      </c>
      <c r="X372">
        <v>170.1</v>
      </c>
      <c r="Y372">
        <v>182.2</v>
      </c>
      <c r="Z372">
        <v>160.4</v>
      </c>
      <c r="AA372">
        <v>169.2</v>
      </c>
      <c r="AB372">
        <v>174.8</v>
      </c>
      <c r="AC372">
        <v>185.6</v>
      </c>
      <c r="AD372">
        <v>171.6</v>
      </c>
      <c r="AE372">
        <v>178.2</v>
      </c>
      <c r="AF372">
        <f>SUM(Table2[[#This Row],[Cereals and products]:[Food and beverages]])</f>
        <v>2335.1</v>
      </c>
      <c r="AG372">
        <f>SUM(Table2[[#This Row],[Housing]:[Household goods and services]],Table2[[#This Row],[Transport and communication]],Table2[[#This Row],[Education]])</f>
        <v>864.3</v>
      </c>
      <c r="AH372">
        <f>SUM(Table2[[#This Row],[Clothing]:[Clothing and footwear]])</f>
        <v>528.70000000000005</v>
      </c>
      <c r="AI372">
        <f>SUM(Table2[[#This Row],[Pan, tobacco and intoxicants]],Table2[[#This Row],[Recreation and amusement]],Table2[[#This Row],[Personal care and effects]])</f>
        <v>559</v>
      </c>
    </row>
    <row r="373" spans="1:35" x14ac:dyDescent="0.25">
      <c r="A373" t="s">
        <v>35</v>
      </c>
      <c r="B373">
        <v>2023</v>
      </c>
      <c r="C373" t="s">
        <v>41</v>
      </c>
      <c r="D373" s="2">
        <v>45047</v>
      </c>
      <c r="E373">
        <v>173.7</v>
      </c>
      <c r="F373">
        <v>214.3</v>
      </c>
      <c r="G373">
        <v>173.2</v>
      </c>
      <c r="H373">
        <v>179.5</v>
      </c>
      <c r="I373">
        <v>170</v>
      </c>
      <c r="J373">
        <v>172.2</v>
      </c>
      <c r="K373">
        <v>161</v>
      </c>
      <c r="L373">
        <v>175.6</v>
      </c>
      <c r="M373">
        <v>122.7</v>
      </c>
      <c r="N373">
        <v>218</v>
      </c>
      <c r="O373">
        <v>173.4</v>
      </c>
      <c r="P373">
        <v>194.2</v>
      </c>
      <c r="Q373">
        <v>179.1</v>
      </c>
      <c r="R373">
        <v>201</v>
      </c>
      <c r="S373">
        <v>187.3</v>
      </c>
      <c r="T373">
        <v>179.7</v>
      </c>
      <c r="U373">
        <v>186.2</v>
      </c>
      <c r="V373">
        <v>175.6</v>
      </c>
      <c r="W373">
        <v>182.8</v>
      </c>
      <c r="X373">
        <v>175.2</v>
      </c>
      <c r="Y373">
        <v>185.7</v>
      </c>
      <c r="Z373">
        <v>164.8</v>
      </c>
      <c r="AA373">
        <v>171.2</v>
      </c>
      <c r="AB373">
        <v>177.1</v>
      </c>
      <c r="AC373">
        <v>185.2</v>
      </c>
      <c r="AD373">
        <v>175.7</v>
      </c>
      <c r="AE373">
        <v>179.1</v>
      </c>
      <c r="AF373">
        <f>SUM(Table2[[#This Row],[Cereals and products]:[Food and beverages]])</f>
        <v>2306.9</v>
      </c>
      <c r="AG373">
        <f>SUM(Table2[[#This Row],[Housing]:[Household goods and services]],Table2[[#This Row],[Transport and communication]],Table2[[#This Row],[Education]])</f>
        <v>875.49999999999989</v>
      </c>
      <c r="AH373">
        <f>SUM(Table2[[#This Row],[Clothing]:[Clothing and footwear]])</f>
        <v>553.20000000000005</v>
      </c>
      <c r="AI373">
        <f>SUM(Table2[[#This Row],[Pan, tobacco and intoxicants]],Table2[[#This Row],[Recreation and amusement]],Table2[[#This Row],[Personal care and effects]])</f>
        <v>557.4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A702-C566-405E-A0C3-A9920E091980}">
  <dimension ref="A1:AD373"/>
  <sheetViews>
    <sheetView workbookViewId="0"/>
  </sheetViews>
  <sheetFormatPr defaultRowHeight="15" x14ac:dyDescent="0.25"/>
  <cols>
    <col min="1" max="1" width="11.85546875" bestFit="1" customWidth="1"/>
    <col min="2" max="2" width="7.28515625" bestFit="1" customWidth="1"/>
    <col min="3" max="3" width="10.85546875" bestFit="1" customWidth="1"/>
    <col min="4" max="4" width="22" bestFit="1" customWidth="1"/>
    <col min="5" max="5" width="15.5703125" bestFit="1" customWidth="1"/>
    <col min="6" max="6" width="6.28515625" bestFit="1" customWidth="1"/>
    <col min="7" max="7" width="19.28515625" bestFit="1" customWidth="1"/>
    <col min="8" max="8" width="14.140625" bestFit="1" customWidth="1"/>
    <col min="9" max="9" width="8.28515625" bestFit="1" customWidth="1"/>
    <col min="10" max="10" width="13.28515625" bestFit="1" customWidth="1"/>
    <col min="11" max="11" width="21.140625" bestFit="1" customWidth="1"/>
    <col min="12" max="12" width="25.28515625" bestFit="1" customWidth="1"/>
    <col min="13" max="13" width="8.85546875" bestFit="1" customWidth="1"/>
    <col min="14" max="14" width="25.5703125" bestFit="1" customWidth="1"/>
    <col min="15" max="15" width="35.5703125" bestFit="1" customWidth="1"/>
    <col min="16" max="16" width="21.28515625" bestFit="1" customWidth="1"/>
    <col min="17" max="17" width="28.85546875" bestFit="1" customWidth="1"/>
    <col min="18" max="18" width="10.7109375" bestFit="1" customWidth="1"/>
    <col min="19" max="19" width="11.7109375" bestFit="1" customWidth="1"/>
    <col min="20" max="20" width="23.28515625" bestFit="1" customWidth="1"/>
    <col min="21" max="21" width="10.42578125" bestFit="1" customWidth="1"/>
    <col min="22" max="22" width="15.42578125" bestFit="1" customWidth="1"/>
    <col min="23" max="23" width="30.42578125" bestFit="1" customWidth="1"/>
    <col min="25" max="25" width="30.140625" bestFit="1" customWidth="1"/>
    <col min="26" max="26" width="28.140625" bestFit="1" customWidth="1"/>
    <col min="27" max="27" width="12" bestFit="1" customWidth="1"/>
    <col min="28" max="28" width="25.85546875" bestFit="1" customWidth="1"/>
    <col min="29" max="29" width="16.28515625" bestFit="1" customWidth="1"/>
    <col min="30" max="30" width="16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hidden="1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hidden="1" x14ac:dyDescent="0.25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hidden="1" x14ac:dyDescent="0.25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hidden="1" x14ac:dyDescent="0.25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hidden="1" x14ac:dyDescent="0.25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hidden="1" x14ac:dyDescent="0.25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hidden="1" x14ac:dyDescent="0.25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hidden="1" x14ac:dyDescent="0.25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hidden="1" x14ac:dyDescent="0.25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hidden="1" x14ac:dyDescent="0.25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hidden="1" x14ac:dyDescent="0.25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hidden="1" x14ac:dyDescent="0.25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hidden="1" x14ac:dyDescent="0.25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hidden="1" x14ac:dyDescent="0.25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hidden="1" x14ac:dyDescent="0.25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hidden="1" x14ac:dyDescent="0.25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hidden="1" x14ac:dyDescent="0.25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hidden="1" x14ac:dyDescent="0.25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hidden="1" x14ac:dyDescent="0.25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hidden="1" x14ac:dyDescent="0.25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hidden="1" x14ac:dyDescent="0.25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hidden="1" x14ac:dyDescent="0.25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hidden="1" x14ac:dyDescent="0.25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hidden="1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hidden="1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hidden="1" x14ac:dyDescent="0.25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hidden="1" x14ac:dyDescent="0.25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hidden="1" x14ac:dyDescent="0.25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hidden="1" x14ac:dyDescent="0.25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hidden="1" x14ac:dyDescent="0.25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hidden="1" x14ac:dyDescent="0.25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hidden="1" x14ac:dyDescent="0.25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hidden="1" x14ac:dyDescent="0.25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hidden="1" x14ac:dyDescent="0.25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hidden="1" x14ac:dyDescent="0.25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hidden="1" x14ac:dyDescent="0.25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hidden="1" x14ac:dyDescent="0.25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hidden="1" x14ac:dyDescent="0.25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hidden="1" x14ac:dyDescent="0.25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hidden="1" x14ac:dyDescent="0.25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hidden="1" x14ac:dyDescent="0.25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hidden="1" x14ac:dyDescent="0.25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hidden="1" x14ac:dyDescent="0.25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hidden="1" x14ac:dyDescent="0.25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hidden="1" x14ac:dyDescent="0.25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hidden="1" x14ac:dyDescent="0.25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hidden="1" x14ac:dyDescent="0.25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hidden="1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hidden="1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hidden="1" x14ac:dyDescent="0.25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hidden="1" x14ac:dyDescent="0.25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hidden="1" x14ac:dyDescent="0.25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hidden="1" x14ac:dyDescent="0.25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hidden="1" x14ac:dyDescent="0.25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hidden="1" x14ac:dyDescent="0.25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hidden="1" x14ac:dyDescent="0.25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hidden="1" x14ac:dyDescent="0.25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hidden="1" x14ac:dyDescent="0.25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hidden="1" x14ac:dyDescent="0.25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hidden="1" x14ac:dyDescent="0.25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hidden="1" x14ac:dyDescent="0.25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hidden="1" x14ac:dyDescent="0.25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hidden="1" x14ac:dyDescent="0.25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hidden="1" x14ac:dyDescent="0.25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hidden="1" x14ac:dyDescent="0.25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hidden="1" x14ac:dyDescent="0.25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hidden="1" x14ac:dyDescent="0.25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hidden="1" x14ac:dyDescent="0.25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hidden="1" x14ac:dyDescent="0.25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hidden="1" x14ac:dyDescent="0.25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hidden="1" x14ac:dyDescent="0.25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hidden="1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hidden="1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hidden="1" x14ac:dyDescent="0.25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hidden="1" x14ac:dyDescent="0.25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hidden="1" x14ac:dyDescent="0.25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hidden="1" x14ac:dyDescent="0.25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hidden="1" x14ac:dyDescent="0.25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hidden="1" x14ac:dyDescent="0.25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hidden="1" x14ac:dyDescent="0.25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hidden="1" x14ac:dyDescent="0.25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hidden="1" x14ac:dyDescent="0.25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hidden="1" x14ac:dyDescent="0.25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hidden="1" x14ac:dyDescent="0.25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hidden="1" x14ac:dyDescent="0.25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hidden="1" x14ac:dyDescent="0.25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hidden="1" x14ac:dyDescent="0.25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hidden="1" x14ac:dyDescent="0.25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hidden="1" x14ac:dyDescent="0.25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hidden="1" x14ac:dyDescent="0.25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hidden="1" x14ac:dyDescent="0.25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hidden="1" x14ac:dyDescent="0.25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hidden="1" x14ac:dyDescent="0.25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hidden="1" x14ac:dyDescent="0.25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hidden="1" x14ac:dyDescent="0.25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hidden="1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hidden="1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hidden="1" x14ac:dyDescent="0.25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hidden="1" x14ac:dyDescent="0.25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hidden="1" x14ac:dyDescent="0.25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hidden="1" x14ac:dyDescent="0.25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hidden="1" x14ac:dyDescent="0.25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hidden="1" x14ac:dyDescent="0.25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hidden="1" x14ac:dyDescent="0.25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hidden="1" x14ac:dyDescent="0.25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hidden="1" x14ac:dyDescent="0.25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hidden="1" x14ac:dyDescent="0.25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hidden="1" x14ac:dyDescent="0.25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hidden="1" x14ac:dyDescent="0.25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hidden="1" x14ac:dyDescent="0.25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hidden="1" x14ac:dyDescent="0.25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hidden="1" x14ac:dyDescent="0.25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hidden="1" x14ac:dyDescent="0.25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hidden="1" x14ac:dyDescent="0.25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hidden="1" x14ac:dyDescent="0.25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hidden="1" x14ac:dyDescent="0.25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hidden="1" x14ac:dyDescent="0.25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hidden="1" x14ac:dyDescent="0.25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hidden="1" x14ac:dyDescent="0.25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hidden="1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hidden="1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hidden="1" x14ac:dyDescent="0.25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hidden="1" x14ac:dyDescent="0.25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hidden="1" x14ac:dyDescent="0.25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hidden="1" x14ac:dyDescent="0.25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hidden="1" x14ac:dyDescent="0.25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hidden="1" x14ac:dyDescent="0.25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hidden="1" x14ac:dyDescent="0.25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hidden="1" x14ac:dyDescent="0.25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hidden="1" x14ac:dyDescent="0.25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hidden="1" x14ac:dyDescent="0.25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hidden="1" x14ac:dyDescent="0.25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hidden="1" x14ac:dyDescent="0.25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hidden="1" x14ac:dyDescent="0.25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hidden="1" x14ac:dyDescent="0.25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hidden="1" x14ac:dyDescent="0.25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hidden="1" x14ac:dyDescent="0.25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hidden="1" x14ac:dyDescent="0.25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hidden="1" x14ac:dyDescent="0.25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hidden="1" x14ac:dyDescent="0.25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hidden="1" x14ac:dyDescent="0.25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25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hidden="1" x14ac:dyDescent="0.25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hidden="1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hidden="1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hidden="1" x14ac:dyDescent="0.25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hidden="1" x14ac:dyDescent="0.25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hidden="1" x14ac:dyDescent="0.25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hidden="1" x14ac:dyDescent="0.25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hidden="1" x14ac:dyDescent="0.25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hidden="1" x14ac:dyDescent="0.25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hidden="1" x14ac:dyDescent="0.25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hidden="1" x14ac:dyDescent="0.25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hidden="1" x14ac:dyDescent="0.25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hidden="1" x14ac:dyDescent="0.25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hidden="1" x14ac:dyDescent="0.25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hidden="1" x14ac:dyDescent="0.25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hidden="1" x14ac:dyDescent="0.25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hidden="1" x14ac:dyDescent="0.25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hidden="1" x14ac:dyDescent="0.25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hidden="1" x14ac:dyDescent="0.25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hidden="1" x14ac:dyDescent="0.25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hidden="1" x14ac:dyDescent="0.25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hidden="1" x14ac:dyDescent="0.25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hidden="1" x14ac:dyDescent="0.25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hidden="1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hidden="1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hidden="1" x14ac:dyDescent="0.25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hidden="1" x14ac:dyDescent="0.25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hidden="1" x14ac:dyDescent="0.25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hidden="1" x14ac:dyDescent="0.25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hidden="1" x14ac:dyDescent="0.25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hidden="1" x14ac:dyDescent="0.25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25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hidden="1" x14ac:dyDescent="0.25">
      <c r="A263" t="s">
        <v>30</v>
      </c>
      <c r="B263">
        <v>2020</v>
      </c>
      <c r="C263" t="s">
        <v>41</v>
      </c>
      <c r="U263" t="s">
        <v>32</v>
      </c>
    </row>
    <row r="264" spans="1:30" hidden="1" x14ac:dyDescent="0.25">
      <c r="A264" t="s">
        <v>33</v>
      </c>
      <c r="B264">
        <v>2020</v>
      </c>
      <c r="C264" t="s">
        <v>41</v>
      </c>
      <c r="U264" t="s">
        <v>32</v>
      </c>
    </row>
    <row r="265" spans="1:30" x14ac:dyDescent="0.25">
      <c r="A265" t="s">
        <v>35</v>
      </c>
      <c r="B265">
        <v>2020</v>
      </c>
      <c r="C265" t="s">
        <v>41</v>
      </c>
      <c r="U265" t="s">
        <v>32</v>
      </c>
    </row>
    <row r="266" spans="1:30" hidden="1" x14ac:dyDescent="0.25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hidden="1" x14ac:dyDescent="0.25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hidden="1" x14ac:dyDescent="0.25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hidden="1" x14ac:dyDescent="0.25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hidden="1" x14ac:dyDescent="0.25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hidden="1" x14ac:dyDescent="0.25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hidden="1" x14ac:dyDescent="0.25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hidden="1" x14ac:dyDescent="0.25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hidden="1" x14ac:dyDescent="0.25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hidden="1" x14ac:dyDescent="0.25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hidden="1" x14ac:dyDescent="0.25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hidden="1" x14ac:dyDescent="0.25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hidden="1" x14ac:dyDescent="0.25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hidden="1" x14ac:dyDescent="0.25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hidden="1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hidden="1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hidden="1" x14ac:dyDescent="0.25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hidden="1" x14ac:dyDescent="0.25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hidden="1" x14ac:dyDescent="0.25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hidden="1" x14ac:dyDescent="0.25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hidden="1" x14ac:dyDescent="0.25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hidden="1" x14ac:dyDescent="0.25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hidden="1" x14ac:dyDescent="0.25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hidden="1" x14ac:dyDescent="0.25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hidden="1" x14ac:dyDescent="0.25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hidden="1" x14ac:dyDescent="0.25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hidden="1" x14ac:dyDescent="0.25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hidden="1" x14ac:dyDescent="0.25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hidden="1" x14ac:dyDescent="0.25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hidden="1" x14ac:dyDescent="0.25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hidden="1" x14ac:dyDescent="0.25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hidden="1" x14ac:dyDescent="0.25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hidden="1" x14ac:dyDescent="0.25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hidden="1" x14ac:dyDescent="0.25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hidden="1" x14ac:dyDescent="0.25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hidden="1" x14ac:dyDescent="0.25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hidden="1" x14ac:dyDescent="0.25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hidden="1" x14ac:dyDescent="0.25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hidden="1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hidden="1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hidden="1" x14ac:dyDescent="0.25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hidden="1" x14ac:dyDescent="0.25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hidden="1" x14ac:dyDescent="0.25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hidden="1" x14ac:dyDescent="0.25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hidden="1" x14ac:dyDescent="0.25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hidden="1" x14ac:dyDescent="0.25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hidden="1" x14ac:dyDescent="0.25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hidden="1" x14ac:dyDescent="0.25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hidden="1" x14ac:dyDescent="0.25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hidden="1" x14ac:dyDescent="0.25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hidden="1" x14ac:dyDescent="0.25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hidden="1" x14ac:dyDescent="0.25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hidden="1" x14ac:dyDescent="0.25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hidden="1" x14ac:dyDescent="0.25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hidden="1" x14ac:dyDescent="0.25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hidden="1" x14ac:dyDescent="0.25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hidden="1" x14ac:dyDescent="0.25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hidden="1" x14ac:dyDescent="0.25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hidden="1" x14ac:dyDescent="0.25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hidden="1" x14ac:dyDescent="0.25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hidden="1" x14ac:dyDescent="0.25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hidden="1" x14ac:dyDescent="0.25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hidden="1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hidden="1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hidden="1" x14ac:dyDescent="0.25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hidden="1" x14ac:dyDescent="0.25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hidden="1" x14ac:dyDescent="0.25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hidden="1" x14ac:dyDescent="0.25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hidden="1" x14ac:dyDescent="0.25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hidden="1" x14ac:dyDescent="0.25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hidden="1" x14ac:dyDescent="0.25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hidden="1" x14ac:dyDescent="0.25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10A3-7314-49D3-9AF6-1D378060CC90}">
  <dimension ref="A1:C126"/>
  <sheetViews>
    <sheetView workbookViewId="0">
      <selection activeCell="F1" sqref="F1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185</v>
      </c>
    </row>
    <row r="2" spans="1:3" hidden="1" x14ac:dyDescent="0.25">
      <c r="A2" s="3">
        <v>41275</v>
      </c>
      <c r="B2" s="2" t="str">
        <f>TEXT(Table13[[#This Row],[Month]],"yyyy")</f>
        <v>2013</v>
      </c>
      <c r="C2" s="4">
        <v>5708.32</v>
      </c>
    </row>
    <row r="3" spans="1:3" hidden="1" x14ac:dyDescent="0.25">
      <c r="A3" s="3">
        <v>41306</v>
      </c>
      <c r="B3" s="2" t="str">
        <f>TEXT(Table13[[#This Row],[Month]],"yyyy")</f>
        <v>2013</v>
      </c>
      <c r="C3" s="4">
        <v>5784.94</v>
      </c>
    </row>
    <row r="4" spans="1:3" hidden="1" x14ac:dyDescent="0.25">
      <c r="A4" s="3">
        <v>41334</v>
      </c>
      <c r="B4" s="2" t="str">
        <f>TEXT(Table13[[#This Row],[Month]],"yyyy")</f>
        <v>2013</v>
      </c>
      <c r="C4" s="4">
        <v>5575.84</v>
      </c>
    </row>
    <row r="5" spans="1:3" hidden="1" x14ac:dyDescent="0.25">
      <c r="A5" s="3">
        <v>41365</v>
      </c>
      <c r="B5" s="2" t="str">
        <f>TEXT(Table13[[#This Row],[Month]],"yyyy")</f>
        <v>2013</v>
      </c>
      <c r="C5" s="4">
        <v>5375.04</v>
      </c>
    </row>
    <row r="6" spans="1:3" hidden="1" x14ac:dyDescent="0.25">
      <c r="A6" s="3">
        <v>41395</v>
      </c>
      <c r="B6" s="2" t="str">
        <f>TEXT(Table13[[#This Row],[Month]],"yyyy")</f>
        <v>2013</v>
      </c>
      <c r="C6" s="4">
        <v>5468.66</v>
      </c>
    </row>
    <row r="7" spans="1:3" hidden="1" x14ac:dyDescent="0.25">
      <c r="A7" s="3">
        <v>41426</v>
      </c>
      <c r="B7" s="2" t="str">
        <f>TEXT(Table13[[#This Row],[Month]],"yyyy")</f>
        <v>2013</v>
      </c>
      <c r="C7" s="4">
        <v>5817.69</v>
      </c>
    </row>
    <row r="8" spans="1:3" hidden="1" x14ac:dyDescent="0.25">
      <c r="A8" s="3">
        <v>41456</v>
      </c>
      <c r="B8" s="2" t="str">
        <f>TEXT(Table13[[#This Row],[Month]],"yyyy")</f>
        <v>2013</v>
      </c>
      <c r="C8" s="4">
        <v>6292.38</v>
      </c>
    </row>
    <row r="9" spans="1:3" hidden="1" x14ac:dyDescent="0.25">
      <c r="A9" s="3">
        <v>41487</v>
      </c>
      <c r="B9" s="2" t="str">
        <f>TEXT(Table13[[#This Row],[Month]],"yyyy")</f>
        <v>2013</v>
      </c>
      <c r="C9" s="4">
        <v>6836.67</v>
      </c>
    </row>
    <row r="10" spans="1:3" hidden="1" x14ac:dyDescent="0.25">
      <c r="A10" s="3">
        <v>41518</v>
      </c>
      <c r="B10" s="2" t="str">
        <f>TEXT(Table13[[#This Row],[Month]],"yyyy")</f>
        <v>2013</v>
      </c>
      <c r="C10" s="4">
        <v>6926.83</v>
      </c>
    </row>
    <row r="11" spans="1:3" hidden="1" x14ac:dyDescent="0.25">
      <c r="A11" s="3">
        <v>41548</v>
      </c>
      <c r="B11" s="2" t="str">
        <f>TEXT(Table13[[#This Row],[Month]],"yyyy")</f>
        <v>2013</v>
      </c>
      <c r="C11" s="4">
        <v>6497.77</v>
      </c>
    </row>
    <row r="12" spans="1:3" hidden="1" x14ac:dyDescent="0.25">
      <c r="A12" s="3">
        <v>41579</v>
      </c>
      <c r="B12" s="2" t="str">
        <f>TEXT(Table13[[#This Row],[Month]],"yyyy")</f>
        <v>2013</v>
      </c>
      <c r="C12" s="4">
        <v>6435.78</v>
      </c>
    </row>
    <row r="13" spans="1:3" hidden="1" x14ac:dyDescent="0.25">
      <c r="A13" s="3">
        <v>41609</v>
      </c>
      <c r="B13" s="2" t="str">
        <f>TEXT(Table13[[#This Row],[Month]],"yyyy")</f>
        <v>2013</v>
      </c>
      <c r="C13" s="4">
        <v>6534.28</v>
      </c>
    </row>
    <row r="14" spans="1:3" hidden="1" x14ac:dyDescent="0.25">
      <c r="A14" s="3">
        <v>41640</v>
      </c>
      <c r="B14" s="2" t="str">
        <f>TEXT(Table13[[#This Row],[Month]],"yyyy")</f>
        <v>2014</v>
      </c>
      <c r="C14" s="4">
        <v>6344</v>
      </c>
    </row>
    <row r="15" spans="1:3" hidden="1" x14ac:dyDescent="0.25">
      <c r="A15" s="3">
        <v>41671</v>
      </c>
      <c r="B15" s="2" t="str">
        <f>TEXT(Table13[[#This Row],[Month]],"yyyy")</f>
        <v>2014</v>
      </c>
      <c r="C15" s="4">
        <v>6529.28</v>
      </c>
    </row>
    <row r="16" spans="1:3" hidden="1" x14ac:dyDescent="0.25">
      <c r="A16" s="3">
        <v>41699</v>
      </c>
      <c r="B16" s="2" t="str">
        <f>TEXT(Table13[[#This Row],[Month]],"yyyy")</f>
        <v>2014</v>
      </c>
      <c r="C16" s="4">
        <v>6343</v>
      </c>
    </row>
    <row r="17" spans="1:3" hidden="1" x14ac:dyDescent="0.25">
      <c r="A17" s="3">
        <v>41730</v>
      </c>
      <c r="B17" s="2" t="str">
        <f>TEXT(Table13[[#This Row],[Month]],"yyyy")</f>
        <v>2014</v>
      </c>
      <c r="C17" s="4">
        <v>6329.6</v>
      </c>
    </row>
    <row r="18" spans="1:3" hidden="1" x14ac:dyDescent="0.25">
      <c r="A18" s="3">
        <v>41760</v>
      </c>
      <c r="B18" s="2" t="str">
        <f>TEXT(Table13[[#This Row],[Month]],"yyyy")</f>
        <v>2014</v>
      </c>
      <c r="C18" s="4">
        <v>6273.13</v>
      </c>
    </row>
    <row r="19" spans="1:3" hidden="1" x14ac:dyDescent="0.25">
      <c r="A19" s="3">
        <v>41791</v>
      </c>
      <c r="B19" s="2" t="str">
        <f>TEXT(Table13[[#This Row],[Month]],"yyyy")</f>
        <v>2014</v>
      </c>
      <c r="C19" s="4">
        <v>6471.05</v>
      </c>
    </row>
    <row r="20" spans="1:3" hidden="1" x14ac:dyDescent="0.25">
      <c r="A20" s="3">
        <v>41821</v>
      </c>
      <c r="B20" s="2" t="str">
        <f>TEXT(Table13[[#This Row],[Month]],"yyyy")</f>
        <v>2014</v>
      </c>
      <c r="C20" s="4">
        <v>6320.51</v>
      </c>
    </row>
    <row r="21" spans="1:3" hidden="1" x14ac:dyDescent="0.25">
      <c r="A21" s="3">
        <v>41852</v>
      </c>
      <c r="B21" s="2" t="str">
        <f>TEXT(Table13[[#This Row],[Month]],"yyyy")</f>
        <v>2014</v>
      </c>
      <c r="C21" s="4">
        <v>6092.56</v>
      </c>
    </row>
    <row r="22" spans="1:3" hidden="1" x14ac:dyDescent="0.25">
      <c r="A22" s="3">
        <v>41883</v>
      </c>
      <c r="B22" s="2" t="str">
        <f>TEXT(Table13[[#This Row],[Month]],"yyyy")</f>
        <v>2014</v>
      </c>
      <c r="C22" s="4">
        <v>5835.69</v>
      </c>
    </row>
    <row r="23" spans="1:3" hidden="1" x14ac:dyDescent="0.25">
      <c r="A23" s="3">
        <v>41913</v>
      </c>
      <c r="B23" s="2" t="str">
        <f>TEXT(Table13[[#This Row],[Month]],"yyyy")</f>
        <v>2014</v>
      </c>
      <c r="C23" s="4">
        <v>5280.84</v>
      </c>
    </row>
    <row r="24" spans="1:3" hidden="1" x14ac:dyDescent="0.25">
      <c r="A24" s="3">
        <v>41944</v>
      </c>
      <c r="B24" s="2" t="str">
        <f>TEXT(Table13[[#This Row],[Month]],"yyyy")</f>
        <v>2014</v>
      </c>
      <c r="C24" s="4">
        <v>4748.53</v>
      </c>
    </row>
    <row r="25" spans="1:3" hidden="1" x14ac:dyDescent="0.25">
      <c r="A25" s="3">
        <v>41974</v>
      </c>
      <c r="B25" s="2" t="str">
        <f>TEXT(Table13[[#This Row],[Month]],"yyyy")</f>
        <v>2014</v>
      </c>
      <c r="C25" s="4">
        <v>3806.55</v>
      </c>
    </row>
    <row r="26" spans="1:3" hidden="1" x14ac:dyDescent="0.25">
      <c r="A26" s="3">
        <v>42005</v>
      </c>
      <c r="B26" s="2" t="str">
        <f>TEXT(Table13[[#This Row],[Month]],"yyyy")</f>
        <v>2015</v>
      </c>
      <c r="C26" s="4">
        <v>2927.2</v>
      </c>
    </row>
    <row r="27" spans="1:3" hidden="1" x14ac:dyDescent="0.25">
      <c r="A27" s="3">
        <v>42036</v>
      </c>
      <c r="B27" s="2" t="str">
        <f>TEXT(Table13[[#This Row],[Month]],"yyyy")</f>
        <v>2015</v>
      </c>
      <c r="C27" s="4">
        <v>3398.51</v>
      </c>
    </row>
    <row r="28" spans="1:3" hidden="1" x14ac:dyDescent="0.25">
      <c r="A28" s="3">
        <v>42064</v>
      </c>
      <c r="B28" s="2" t="str">
        <f>TEXT(Table13[[#This Row],[Month]],"yyyy")</f>
        <v>2015</v>
      </c>
      <c r="C28" s="4">
        <v>3299.23</v>
      </c>
    </row>
    <row r="29" spans="1:3" hidden="1" x14ac:dyDescent="0.25">
      <c r="A29" s="3">
        <v>42095</v>
      </c>
      <c r="B29" s="2" t="str">
        <f>TEXT(Table13[[#This Row],[Month]],"yyyy")</f>
        <v>2015</v>
      </c>
      <c r="C29" s="4">
        <v>3611.03</v>
      </c>
    </row>
    <row r="30" spans="1:3" hidden="1" x14ac:dyDescent="0.25">
      <c r="A30" s="3">
        <v>42125</v>
      </c>
      <c r="B30" s="2" t="str">
        <f>TEXT(Table13[[#This Row],[Month]],"yyyy")</f>
        <v>2015</v>
      </c>
      <c r="C30" s="4">
        <v>3988.78</v>
      </c>
    </row>
    <row r="31" spans="1:3" hidden="1" x14ac:dyDescent="0.25">
      <c r="A31" s="3">
        <v>42156</v>
      </c>
      <c r="B31" s="2" t="str">
        <f>TEXT(Table13[[#This Row],[Month]],"yyyy")</f>
        <v>2015</v>
      </c>
      <c r="C31" s="4">
        <v>3915.3</v>
      </c>
    </row>
    <row r="32" spans="1:3" hidden="1" x14ac:dyDescent="0.25">
      <c r="A32" s="3">
        <v>42186</v>
      </c>
      <c r="B32" s="2" t="str">
        <f>TEXT(Table13[[#This Row],[Month]],"yyyy")</f>
        <v>2015</v>
      </c>
      <c r="C32" s="4">
        <v>3458.51</v>
      </c>
    </row>
    <row r="33" spans="1:3" hidden="1" x14ac:dyDescent="0.25">
      <c r="A33" s="3">
        <v>42217</v>
      </c>
      <c r="B33" s="2" t="str">
        <f>TEXT(Table13[[#This Row],[Month]],"yyyy")</f>
        <v>2015</v>
      </c>
      <c r="C33" s="4">
        <v>2973.16</v>
      </c>
    </row>
    <row r="34" spans="1:3" hidden="1" x14ac:dyDescent="0.25">
      <c r="A34" s="3">
        <v>42248</v>
      </c>
      <c r="B34" s="2" t="str">
        <f>TEXT(Table13[[#This Row],[Month]],"yyyy")</f>
        <v>2015</v>
      </c>
      <c r="C34" s="4">
        <v>3064.43</v>
      </c>
    </row>
    <row r="35" spans="1:3" hidden="1" x14ac:dyDescent="0.25">
      <c r="A35" s="3">
        <v>42278</v>
      </c>
      <c r="B35" s="2" t="str">
        <f>TEXT(Table13[[#This Row],[Month]],"yyyy")</f>
        <v>2015</v>
      </c>
      <c r="C35" s="4">
        <v>3055.95</v>
      </c>
    </row>
    <row r="36" spans="1:3" hidden="1" x14ac:dyDescent="0.25">
      <c r="A36" s="3">
        <v>42309</v>
      </c>
      <c r="B36" s="2" t="str">
        <f>TEXT(Table13[[#This Row],[Month]],"yyyy")</f>
        <v>2015</v>
      </c>
      <c r="C36" s="4">
        <v>2847.43</v>
      </c>
    </row>
    <row r="37" spans="1:3" hidden="1" x14ac:dyDescent="0.25">
      <c r="A37" s="3">
        <v>42339</v>
      </c>
      <c r="B37" s="2" t="str">
        <f>TEXT(Table13[[#This Row],[Month]],"yyyy")</f>
        <v>2015</v>
      </c>
      <c r="C37" s="4">
        <v>2435.4</v>
      </c>
    </row>
    <row r="38" spans="1:3" hidden="1" x14ac:dyDescent="0.25">
      <c r="A38" s="3">
        <v>42370</v>
      </c>
      <c r="B38" s="2" t="str">
        <f>TEXT(Table13[[#This Row],[Month]],"yyyy")</f>
        <v>2016</v>
      </c>
      <c r="C38" s="4">
        <v>2004</v>
      </c>
    </row>
    <row r="39" spans="1:3" hidden="1" x14ac:dyDescent="0.25">
      <c r="A39" s="3">
        <v>42401</v>
      </c>
      <c r="B39" s="2" t="str">
        <f>TEXT(Table13[[#This Row],[Month]],"yyyy")</f>
        <v>2016</v>
      </c>
      <c r="C39" s="4">
        <v>2117.58</v>
      </c>
    </row>
    <row r="40" spans="1:3" hidden="1" x14ac:dyDescent="0.25">
      <c r="A40" s="3">
        <v>42430</v>
      </c>
      <c r="B40" s="2" t="str">
        <f>TEXT(Table13[[#This Row],[Month]],"yyyy")</f>
        <v>2016</v>
      </c>
      <c r="C40" s="4">
        <v>2503.9499999999998</v>
      </c>
    </row>
    <row r="41" spans="1:3" hidden="1" x14ac:dyDescent="0.25">
      <c r="A41" s="3">
        <v>42461</v>
      </c>
      <c r="B41" s="2" t="str">
        <f>TEXT(Table13[[#This Row],[Month]],"yyyy")</f>
        <v>2016</v>
      </c>
      <c r="C41" s="4">
        <v>2708.63</v>
      </c>
    </row>
    <row r="42" spans="1:3" hidden="1" x14ac:dyDescent="0.25">
      <c r="A42" s="3">
        <v>42491</v>
      </c>
      <c r="B42" s="2" t="str">
        <f>TEXT(Table13[[#This Row],[Month]],"yyyy")</f>
        <v>2016</v>
      </c>
      <c r="C42" s="4">
        <v>3072.75</v>
      </c>
    </row>
    <row r="43" spans="1:3" hidden="1" x14ac:dyDescent="0.25">
      <c r="A43" s="3">
        <v>42522</v>
      </c>
      <c r="B43" s="2" t="str">
        <f>TEXT(Table13[[#This Row],[Month]],"yyyy")</f>
        <v>2016</v>
      </c>
      <c r="C43" s="4">
        <v>3208.66</v>
      </c>
    </row>
    <row r="44" spans="1:3" hidden="1" x14ac:dyDescent="0.25">
      <c r="A44" s="3">
        <v>42552</v>
      </c>
      <c r="B44" s="2" t="str">
        <f>TEXT(Table13[[#This Row],[Month]],"yyyy")</f>
        <v>2016</v>
      </c>
      <c r="C44" s="4">
        <v>2966.28</v>
      </c>
    </row>
    <row r="45" spans="1:3" hidden="1" x14ac:dyDescent="0.25">
      <c r="A45" s="3">
        <v>42583</v>
      </c>
      <c r="B45" s="2" t="str">
        <f>TEXT(Table13[[#This Row],[Month]],"yyyy")</f>
        <v>2016</v>
      </c>
      <c r="C45" s="4">
        <v>3004.16</v>
      </c>
    </row>
    <row r="46" spans="1:3" hidden="1" x14ac:dyDescent="0.25">
      <c r="A46" s="3">
        <v>42614</v>
      </c>
      <c r="B46" s="2" t="str">
        <f>TEXT(Table13[[#This Row],[Month]],"yyyy")</f>
        <v>2016</v>
      </c>
      <c r="C46" s="4">
        <v>3006.05</v>
      </c>
    </row>
    <row r="47" spans="1:3" hidden="1" x14ac:dyDescent="0.25">
      <c r="A47" s="3">
        <v>42644</v>
      </c>
      <c r="B47" s="2" t="str">
        <f>TEXT(Table13[[#This Row],[Month]],"yyyy")</f>
        <v>2016</v>
      </c>
      <c r="C47" s="4">
        <v>3290.46</v>
      </c>
    </row>
    <row r="48" spans="1:3" hidden="1" x14ac:dyDescent="0.25">
      <c r="A48" s="3">
        <v>42675</v>
      </c>
      <c r="B48" s="2" t="str">
        <f>TEXT(Table13[[#This Row],[Month]],"yyyy")</f>
        <v>2016</v>
      </c>
      <c r="C48" s="4">
        <v>3056.29</v>
      </c>
    </row>
    <row r="49" spans="1:3" hidden="1" x14ac:dyDescent="0.25">
      <c r="A49" s="3">
        <v>42705</v>
      </c>
      <c r="B49" s="2" t="str">
        <f>TEXT(Table13[[#This Row],[Month]],"yyyy")</f>
        <v>2016</v>
      </c>
      <c r="C49" s="4">
        <v>3572.84</v>
      </c>
    </row>
    <row r="50" spans="1:3" hidden="1" x14ac:dyDescent="0.25">
      <c r="A50" s="3">
        <v>42736</v>
      </c>
      <c r="B50" s="2" t="str">
        <f>TEXT(Table13[[#This Row],[Month]],"yyyy")</f>
        <v>2017</v>
      </c>
      <c r="C50" s="4">
        <v>3649.89</v>
      </c>
    </row>
    <row r="51" spans="1:3" hidden="1" x14ac:dyDescent="0.25">
      <c r="A51" s="3">
        <v>42767</v>
      </c>
      <c r="B51" s="2" t="str">
        <f>TEXT(Table13[[#This Row],[Month]],"yyyy")</f>
        <v>2017</v>
      </c>
      <c r="C51" s="4">
        <v>3647.03</v>
      </c>
    </row>
    <row r="52" spans="1:3" hidden="1" x14ac:dyDescent="0.25">
      <c r="A52" s="3">
        <v>42795</v>
      </c>
      <c r="B52" s="2" t="str">
        <f>TEXT(Table13[[#This Row],[Month]],"yyyy")</f>
        <v>2017</v>
      </c>
      <c r="C52" s="4">
        <v>3355.09</v>
      </c>
    </row>
    <row r="53" spans="1:3" hidden="1" x14ac:dyDescent="0.25">
      <c r="A53" s="3">
        <v>42826</v>
      </c>
      <c r="B53" s="2" t="str">
        <f>TEXT(Table13[[#This Row],[Month]],"yyyy")</f>
        <v>2017</v>
      </c>
      <c r="C53" s="4">
        <v>3365.04</v>
      </c>
    </row>
    <row r="54" spans="1:3" hidden="1" x14ac:dyDescent="0.25">
      <c r="A54" s="3">
        <v>42856</v>
      </c>
      <c r="B54" s="2" t="str">
        <f>TEXT(Table13[[#This Row],[Month]],"yyyy")</f>
        <v>2017</v>
      </c>
      <c r="C54" s="4">
        <v>3213.83</v>
      </c>
    </row>
    <row r="55" spans="1:3" hidden="1" x14ac:dyDescent="0.25">
      <c r="A55" s="3">
        <v>42887</v>
      </c>
      <c r="B55" s="2" t="str">
        <f>TEXT(Table13[[#This Row],[Month]],"yyyy")</f>
        <v>2017</v>
      </c>
      <c r="C55" s="4">
        <v>2975.01</v>
      </c>
    </row>
    <row r="56" spans="1:3" hidden="1" x14ac:dyDescent="0.25">
      <c r="A56" s="3">
        <v>42917</v>
      </c>
      <c r="B56" s="2" t="str">
        <f>TEXT(Table13[[#This Row],[Month]],"yyyy")</f>
        <v>2017</v>
      </c>
      <c r="C56" s="4">
        <v>3071.23</v>
      </c>
    </row>
    <row r="57" spans="1:3" hidden="1" x14ac:dyDescent="0.25">
      <c r="A57" s="3">
        <v>42948</v>
      </c>
      <c r="B57" s="2" t="str">
        <f>TEXT(Table13[[#This Row],[Month]],"yyyy")</f>
        <v>2017</v>
      </c>
      <c r="C57" s="4">
        <v>3194.46</v>
      </c>
    </row>
    <row r="58" spans="1:3" hidden="1" x14ac:dyDescent="0.25">
      <c r="A58" s="3">
        <v>42979</v>
      </c>
      <c r="B58" s="2" t="str">
        <f>TEXT(Table13[[#This Row],[Month]],"yyyy")</f>
        <v>2017</v>
      </c>
      <c r="C58" s="4">
        <v>3413.19</v>
      </c>
    </row>
    <row r="59" spans="1:3" hidden="1" x14ac:dyDescent="0.25">
      <c r="A59" s="3">
        <v>43009</v>
      </c>
      <c r="B59" s="2" t="str">
        <f>TEXT(Table13[[#This Row],[Month]],"yyyy")</f>
        <v>2017</v>
      </c>
      <c r="C59" s="4">
        <v>3574.53</v>
      </c>
    </row>
    <row r="60" spans="1:3" hidden="1" x14ac:dyDescent="0.25">
      <c r="A60" s="3">
        <v>43040</v>
      </c>
      <c r="B60" s="2" t="str">
        <f>TEXT(Table13[[#This Row],[Month]],"yyyy")</f>
        <v>2017</v>
      </c>
      <c r="C60" s="4">
        <v>3887.81</v>
      </c>
    </row>
    <row r="61" spans="1:3" hidden="1" x14ac:dyDescent="0.25">
      <c r="A61" s="3">
        <v>43070</v>
      </c>
      <c r="B61" s="2" t="str">
        <f>TEXT(Table13[[#This Row],[Month]],"yyyy")</f>
        <v>2017</v>
      </c>
      <c r="C61" s="4">
        <v>3930.99</v>
      </c>
    </row>
    <row r="62" spans="1:3" hidden="1" x14ac:dyDescent="0.25">
      <c r="A62" s="3">
        <v>43101</v>
      </c>
      <c r="B62" s="2" t="str">
        <f>TEXT(Table13[[#This Row],[Month]],"yyyy")</f>
        <v>2018</v>
      </c>
      <c r="C62" s="4">
        <v>4215.16</v>
      </c>
    </row>
    <row r="63" spans="1:3" hidden="1" x14ac:dyDescent="0.25">
      <c r="A63" s="3">
        <v>43132</v>
      </c>
      <c r="B63" s="2" t="str">
        <f>TEXT(Table13[[#This Row],[Month]],"yyyy")</f>
        <v>2018</v>
      </c>
      <c r="C63" s="4">
        <v>4085.16</v>
      </c>
    </row>
    <row r="64" spans="1:3" hidden="1" x14ac:dyDescent="0.25">
      <c r="A64" s="3">
        <v>43160</v>
      </c>
      <c r="B64" s="2" t="str">
        <f>TEXT(Table13[[#This Row],[Month]],"yyyy")</f>
        <v>2018</v>
      </c>
      <c r="C64" s="4">
        <v>4171.72</v>
      </c>
    </row>
    <row r="65" spans="1:3" hidden="1" x14ac:dyDescent="0.25">
      <c r="A65" s="3">
        <v>43191</v>
      </c>
      <c r="B65" s="2" t="str">
        <f>TEXT(Table13[[#This Row],[Month]],"yyyy")</f>
        <v>2018</v>
      </c>
      <c r="C65" s="4">
        <v>4516.93</v>
      </c>
    </row>
    <row r="66" spans="1:3" hidden="1" x14ac:dyDescent="0.25">
      <c r="A66" s="3">
        <v>43221</v>
      </c>
      <c r="B66" s="2" t="str">
        <f>TEXT(Table13[[#This Row],[Month]],"yyyy")</f>
        <v>2018</v>
      </c>
      <c r="C66" s="4">
        <v>4959.75</v>
      </c>
    </row>
    <row r="67" spans="1:3" hidden="1" x14ac:dyDescent="0.25">
      <c r="A67" s="3">
        <v>43252</v>
      </c>
      <c r="B67" s="2" t="str">
        <f>TEXT(Table13[[#This Row],[Month]],"yyyy")</f>
        <v>2018</v>
      </c>
      <c r="C67" s="4">
        <v>4879.75</v>
      </c>
    </row>
    <row r="68" spans="1:3" hidden="1" x14ac:dyDescent="0.25">
      <c r="A68" s="3">
        <v>43282</v>
      </c>
      <c r="B68" s="2" t="str">
        <f>TEXT(Table13[[#This Row],[Month]],"yyyy")</f>
        <v>2018</v>
      </c>
      <c r="C68" s="4">
        <v>4992.51</v>
      </c>
    </row>
    <row r="69" spans="1:3" hidden="1" x14ac:dyDescent="0.25">
      <c r="A69" s="3">
        <v>43313</v>
      </c>
      <c r="B69" s="2" t="str">
        <f>TEXT(Table13[[#This Row],[Month]],"yyyy")</f>
        <v>2018</v>
      </c>
      <c r="C69" s="4">
        <v>4942.53</v>
      </c>
    </row>
    <row r="70" spans="1:3" hidden="1" x14ac:dyDescent="0.25">
      <c r="A70" s="3">
        <v>43344</v>
      </c>
      <c r="B70" s="2" t="str">
        <f>TEXT(Table13[[#This Row],[Month]],"yyyy")</f>
        <v>2018</v>
      </c>
      <c r="C70" s="4">
        <v>5448.55</v>
      </c>
    </row>
    <row r="71" spans="1:3" hidden="1" x14ac:dyDescent="0.25">
      <c r="A71" s="3">
        <v>43374</v>
      </c>
      <c r="B71" s="2" t="str">
        <f>TEXT(Table13[[#This Row],[Month]],"yyyy")</f>
        <v>2018</v>
      </c>
      <c r="C71" s="4">
        <v>5648.69</v>
      </c>
    </row>
    <row r="72" spans="1:3" hidden="1" x14ac:dyDescent="0.25">
      <c r="A72" s="3">
        <v>43405</v>
      </c>
      <c r="B72" s="2" t="str">
        <f>TEXT(Table13[[#This Row],[Month]],"yyyy")</f>
        <v>2018</v>
      </c>
      <c r="C72" s="4">
        <v>4476.09</v>
      </c>
    </row>
    <row r="73" spans="1:3" hidden="1" x14ac:dyDescent="0.25">
      <c r="A73" s="3">
        <v>43435</v>
      </c>
      <c r="B73" s="2" t="str">
        <f>TEXT(Table13[[#This Row],[Month]],"yyyy")</f>
        <v>2018</v>
      </c>
      <c r="C73" s="4">
        <v>3822.07</v>
      </c>
    </row>
    <row r="74" spans="1:3" hidden="1" x14ac:dyDescent="0.25">
      <c r="A74" s="3">
        <v>43466</v>
      </c>
      <c r="B74" s="2" t="str">
        <f>TEXT(Table13[[#This Row],[Month]],"yyyy")</f>
        <v>2019</v>
      </c>
      <c r="C74" s="4">
        <v>4003.08</v>
      </c>
    </row>
    <row r="75" spans="1:3" hidden="1" x14ac:dyDescent="0.25">
      <c r="A75" s="3">
        <v>43497</v>
      </c>
      <c r="B75" s="2" t="str">
        <f>TEXT(Table13[[#This Row],[Month]],"yyyy")</f>
        <v>2019</v>
      </c>
      <c r="C75" s="4">
        <v>4352.9399999999996</v>
      </c>
    </row>
    <row r="76" spans="1:3" hidden="1" x14ac:dyDescent="0.25">
      <c r="A76" s="3">
        <v>43525</v>
      </c>
      <c r="B76" s="2" t="str">
        <f>TEXT(Table13[[#This Row],[Month]],"yyyy")</f>
        <v>2019</v>
      </c>
      <c r="C76" s="4">
        <v>4432.04</v>
      </c>
    </row>
    <row r="77" spans="1:3" hidden="1" x14ac:dyDescent="0.25">
      <c r="A77" s="3">
        <v>43556</v>
      </c>
      <c r="B77" s="2" t="str">
        <f>TEXT(Table13[[#This Row],[Month]],"yyyy")</f>
        <v>2019</v>
      </c>
      <c r="C77" s="4">
        <v>4761.33</v>
      </c>
    </row>
    <row r="78" spans="1:3" hidden="1" x14ac:dyDescent="0.25">
      <c r="A78" s="3">
        <v>43586</v>
      </c>
      <c r="B78" s="2" t="str">
        <f>TEXT(Table13[[#This Row],[Month]],"yyyy")</f>
        <v>2019</v>
      </c>
      <c r="C78" s="4">
        <v>4664.0200000000004</v>
      </c>
    </row>
    <row r="79" spans="1:3" hidden="1" x14ac:dyDescent="0.25">
      <c r="A79" s="3">
        <v>43617</v>
      </c>
      <c r="B79" s="2" t="str">
        <f>TEXT(Table13[[#This Row],[Month]],"yyyy")</f>
        <v>2019</v>
      </c>
      <c r="C79" s="4">
        <v>4149.67</v>
      </c>
    </row>
    <row r="80" spans="1:3" hidden="1" x14ac:dyDescent="0.25">
      <c r="A80" s="3">
        <v>43647</v>
      </c>
      <c r="B80" s="2" t="str">
        <f>TEXT(Table13[[#This Row],[Month]],"yyyy")</f>
        <v>2019</v>
      </c>
      <c r="C80" s="4">
        <v>4230.22</v>
      </c>
    </row>
    <row r="81" spans="1:3" hidden="1" x14ac:dyDescent="0.25">
      <c r="A81" s="3">
        <v>43678</v>
      </c>
      <c r="B81" s="2" t="str">
        <f>TEXT(Table13[[#This Row],[Month]],"yyyy")</f>
        <v>2019</v>
      </c>
      <c r="C81" s="4">
        <v>4102.97</v>
      </c>
    </row>
    <row r="82" spans="1:3" hidden="1" x14ac:dyDescent="0.25">
      <c r="A82" s="3">
        <v>43709</v>
      </c>
      <c r="B82" s="2" t="str">
        <f>TEXT(Table13[[#This Row],[Month]],"yyyy")</f>
        <v>2019</v>
      </c>
      <c r="C82" s="4">
        <v>4282.87</v>
      </c>
    </row>
    <row r="83" spans="1:3" hidden="1" x14ac:dyDescent="0.25">
      <c r="A83" s="3">
        <v>43739</v>
      </c>
      <c r="B83" s="2" t="str">
        <f>TEXT(Table13[[#This Row],[Month]],"yyyy")</f>
        <v>2019</v>
      </c>
      <c r="C83" s="4">
        <v>4069.14</v>
      </c>
    </row>
    <row r="84" spans="1:3" hidden="1" x14ac:dyDescent="0.25">
      <c r="A84" s="3">
        <v>43770</v>
      </c>
      <c r="B84" s="2" t="str">
        <f>TEXT(Table13[[#This Row],[Month]],"yyyy")</f>
        <v>2019</v>
      </c>
      <c r="C84" s="4">
        <v>4314.32</v>
      </c>
    </row>
    <row r="85" spans="1:3" hidden="1" x14ac:dyDescent="0.25">
      <c r="A85" s="3">
        <v>43800</v>
      </c>
      <c r="B85" s="2" t="str">
        <f>TEXT(Table13[[#This Row],[Month]],"yyyy")</f>
        <v>2019</v>
      </c>
      <c r="C85" s="4">
        <v>4509.7700000000004</v>
      </c>
    </row>
    <row r="86" spans="1:3" hidden="1" x14ac:dyDescent="0.25">
      <c r="A86" s="3">
        <v>43831</v>
      </c>
      <c r="B86" s="2" t="str">
        <f>TEXT(Table13[[#This Row],[Month]],"yyyy")</f>
        <v>2020</v>
      </c>
      <c r="C86" s="4">
        <v>4395.91</v>
      </c>
    </row>
    <row r="87" spans="1:3" hidden="1" x14ac:dyDescent="0.25">
      <c r="A87" s="3">
        <v>43862</v>
      </c>
      <c r="B87" s="2" t="str">
        <f>TEXT(Table13[[#This Row],[Month]],"yyyy")</f>
        <v>2020</v>
      </c>
      <c r="C87" s="4">
        <v>3811.78</v>
      </c>
    </row>
    <row r="88" spans="1:3" hidden="1" x14ac:dyDescent="0.25">
      <c r="A88" s="3">
        <v>43891</v>
      </c>
      <c r="B88" s="2" t="str">
        <f>TEXT(Table13[[#This Row],[Month]],"yyyy")</f>
        <v>2020</v>
      </c>
      <c r="C88" s="4">
        <v>2392.98</v>
      </c>
    </row>
    <row r="89" spans="1:3" hidden="1" x14ac:dyDescent="0.25">
      <c r="A89" s="3">
        <v>43922</v>
      </c>
      <c r="B89" s="2" t="str">
        <f>TEXT(Table13[[#This Row],[Month]],"yyyy")</f>
        <v>2020</v>
      </c>
      <c r="C89" s="4">
        <v>1603.02</v>
      </c>
    </row>
    <row r="90" spans="1:3" hidden="1" x14ac:dyDescent="0.25">
      <c r="A90" s="3">
        <v>43952</v>
      </c>
      <c r="B90" s="2" t="str">
        <f>TEXT(Table13[[#This Row],[Month]],"yyyy")</f>
        <v>2020</v>
      </c>
      <c r="C90" s="4">
        <v>2298.5500000000002</v>
      </c>
    </row>
    <row r="91" spans="1:3" hidden="1" x14ac:dyDescent="0.25">
      <c r="A91" s="3">
        <v>43983</v>
      </c>
      <c r="B91" s="2" t="str">
        <f>TEXT(Table13[[#This Row],[Month]],"yyyy")</f>
        <v>2020</v>
      </c>
      <c r="C91" s="4">
        <v>2987.46</v>
      </c>
    </row>
    <row r="92" spans="1:3" hidden="1" x14ac:dyDescent="0.25">
      <c r="A92" s="3">
        <v>44013</v>
      </c>
      <c r="B92" s="2" t="str">
        <f>TEXT(Table13[[#This Row],[Month]],"yyyy")</f>
        <v>2020</v>
      </c>
      <c r="C92" s="4">
        <v>3156.01</v>
      </c>
    </row>
    <row r="93" spans="1:3" hidden="1" x14ac:dyDescent="0.25">
      <c r="A93" s="3">
        <v>44044</v>
      </c>
      <c r="B93" s="2" t="str">
        <f>TEXT(Table13[[#This Row],[Month]],"yyyy")</f>
        <v>2020</v>
      </c>
      <c r="C93" s="4">
        <v>3243.75</v>
      </c>
    </row>
    <row r="94" spans="1:3" hidden="1" x14ac:dyDescent="0.25">
      <c r="A94" s="3">
        <v>44075</v>
      </c>
      <c r="B94" s="2" t="str">
        <f>TEXT(Table13[[#This Row],[Month]],"yyyy")</f>
        <v>2020</v>
      </c>
      <c r="C94" s="4">
        <v>2984.05</v>
      </c>
    </row>
    <row r="95" spans="1:3" hidden="1" x14ac:dyDescent="0.25">
      <c r="A95" s="3">
        <v>44105</v>
      </c>
      <c r="B95" s="2" t="str">
        <f>TEXT(Table13[[#This Row],[Month]],"yyyy")</f>
        <v>2020</v>
      </c>
      <c r="C95" s="4">
        <v>2931.66</v>
      </c>
    </row>
    <row r="96" spans="1:3" hidden="1" x14ac:dyDescent="0.25">
      <c r="A96" s="3">
        <v>44136</v>
      </c>
      <c r="B96" s="2" t="str">
        <f>TEXT(Table13[[#This Row],[Month]],"yyyy")</f>
        <v>2020</v>
      </c>
      <c r="C96" s="4">
        <v>3141.53</v>
      </c>
    </row>
    <row r="97" spans="1:3" hidden="1" x14ac:dyDescent="0.25">
      <c r="A97" s="3">
        <v>44166</v>
      </c>
      <c r="B97" s="2" t="str">
        <f>TEXT(Table13[[#This Row],[Month]],"yyyy")</f>
        <v>2020</v>
      </c>
      <c r="C97" s="4">
        <v>3589.35</v>
      </c>
    </row>
    <row r="98" spans="1:3" x14ac:dyDescent="0.25">
      <c r="A98" s="3">
        <v>44197</v>
      </c>
      <c r="B98" s="2" t="str">
        <f>TEXT(Table13[[#This Row],[Month]],"yyyy")</f>
        <v>2021</v>
      </c>
      <c r="C98" s="4">
        <v>3918.56</v>
      </c>
    </row>
    <row r="99" spans="1:3" x14ac:dyDescent="0.25">
      <c r="A99" s="3">
        <v>44228</v>
      </c>
      <c r="B99" s="2" t="str">
        <f>TEXT(Table13[[#This Row],[Month]],"yyyy")</f>
        <v>2021</v>
      </c>
      <c r="C99" s="4">
        <v>4399.41</v>
      </c>
    </row>
    <row r="100" spans="1:3" x14ac:dyDescent="0.25">
      <c r="A100" s="3">
        <v>44256</v>
      </c>
      <c r="B100" s="2" t="str">
        <f>TEXT(Table13[[#This Row],[Month]],"yyyy")</f>
        <v>2021</v>
      </c>
      <c r="C100" s="4">
        <v>4646.3599999999997</v>
      </c>
    </row>
    <row r="101" spans="1:3" x14ac:dyDescent="0.25">
      <c r="A101" s="3">
        <v>44287</v>
      </c>
      <c r="B101" s="2" t="str">
        <f>TEXT(Table13[[#This Row],[Month]],"yyyy")</f>
        <v>2021</v>
      </c>
      <c r="C101" s="4">
        <v>4684.6400000000003</v>
      </c>
    </row>
    <row r="102" spans="1:3" x14ac:dyDescent="0.25">
      <c r="A102" s="3">
        <v>44317</v>
      </c>
      <c r="B102" s="2" t="str">
        <f>TEXT(Table13[[#This Row],[Month]],"yyyy")</f>
        <v>2021</v>
      </c>
      <c r="C102" s="4">
        <v>4870.9799999999996</v>
      </c>
    </row>
    <row r="103" spans="1:3" x14ac:dyDescent="0.25">
      <c r="A103" s="3">
        <v>44348</v>
      </c>
      <c r="B103" s="2" t="str">
        <f>TEXT(Table13[[#This Row],[Month]],"yyyy")</f>
        <v>2021</v>
      </c>
      <c r="C103" s="4">
        <v>5281.48</v>
      </c>
    </row>
    <row r="104" spans="1:3" x14ac:dyDescent="0.25">
      <c r="A104" s="3">
        <v>44378</v>
      </c>
      <c r="B104" s="2" t="str">
        <f>TEXT(Table13[[#This Row],[Month]],"yyyy")</f>
        <v>2021</v>
      </c>
      <c r="C104" s="4">
        <v>5460.9</v>
      </c>
    </row>
    <row r="105" spans="1:3" x14ac:dyDescent="0.25">
      <c r="A105" s="3">
        <v>44409</v>
      </c>
      <c r="B105" s="2" t="str">
        <f>TEXT(Table13[[#This Row],[Month]],"yyyy")</f>
        <v>2021</v>
      </c>
      <c r="C105" s="4">
        <v>5108.7299999999996</v>
      </c>
    </row>
    <row r="106" spans="1:3" x14ac:dyDescent="0.25">
      <c r="A106" s="3">
        <v>44440</v>
      </c>
      <c r="B106" s="2" t="str">
        <f>TEXT(Table13[[#This Row],[Month]],"yyyy")</f>
        <v>2021</v>
      </c>
      <c r="C106" s="4">
        <v>5359.17</v>
      </c>
    </row>
    <row r="107" spans="1:3" x14ac:dyDescent="0.25">
      <c r="A107" s="3">
        <v>44470</v>
      </c>
      <c r="B107" s="2" t="str">
        <f>TEXT(Table13[[#This Row],[Month]],"yyyy")</f>
        <v>2021</v>
      </c>
      <c r="C107" s="4">
        <v>6146.58</v>
      </c>
    </row>
    <row r="108" spans="1:3" x14ac:dyDescent="0.25">
      <c r="A108" s="3">
        <v>44501</v>
      </c>
      <c r="B108" s="2" t="str">
        <f>TEXT(Table13[[#This Row],[Month]],"yyyy")</f>
        <v>2021</v>
      </c>
      <c r="C108" s="4">
        <v>5952.69</v>
      </c>
    </row>
    <row r="109" spans="1:3" x14ac:dyDescent="0.25">
      <c r="A109" s="3">
        <v>44531</v>
      </c>
      <c r="B109" s="2" t="str">
        <f>TEXT(Table13[[#This Row],[Month]],"yyyy")</f>
        <v>2021</v>
      </c>
      <c r="C109" s="4">
        <v>5504.55</v>
      </c>
    </row>
    <row r="110" spans="1:3" x14ac:dyDescent="0.25">
      <c r="A110" s="3">
        <v>44562</v>
      </c>
      <c r="B110" s="2" t="str">
        <f>TEXT(Table13[[#This Row],[Month]],"yyyy")</f>
        <v>2022</v>
      </c>
      <c r="C110" s="4">
        <v>6247.71</v>
      </c>
    </row>
    <row r="111" spans="1:3" x14ac:dyDescent="0.25">
      <c r="A111" s="3">
        <v>44593</v>
      </c>
      <c r="B111" s="2" t="str">
        <f>TEXT(Table13[[#This Row],[Month]],"yyyy")</f>
        <v>2022</v>
      </c>
      <c r="C111" s="4">
        <v>7018.51</v>
      </c>
    </row>
    <row r="112" spans="1:3" x14ac:dyDescent="0.25">
      <c r="A112" s="3">
        <v>44621</v>
      </c>
      <c r="B112" s="2" t="str">
        <f>TEXT(Table13[[#This Row],[Month]],"yyyy")</f>
        <v>2022</v>
      </c>
      <c r="C112" s="4">
        <v>8569.8799999999992</v>
      </c>
    </row>
    <row r="113" spans="1:3" x14ac:dyDescent="0.25">
      <c r="A113" s="3">
        <v>44652</v>
      </c>
      <c r="B113" s="2" t="str">
        <f>TEXT(Table13[[#This Row],[Month]],"yyyy")</f>
        <v>2022</v>
      </c>
      <c r="C113" s="4">
        <v>7877.96</v>
      </c>
    </row>
    <row r="114" spans="1:3" x14ac:dyDescent="0.25">
      <c r="A114" s="3">
        <v>44682</v>
      </c>
      <c r="B114" s="2" t="str">
        <f>TEXT(Table13[[#This Row],[Month]],"yyyy")</f>
        <v>2022</v>
      </c>
      <c r="C114" s="4">
        <v>8511.74</v>
      </c>
    </row>
    <row r="115" spans="1:3" x14ac:dyDescent="0.25">
      <c r="A115" s="3">
        <v>44713</v>
      </c>
      <c r="B115" s="2" t="str">
        <f>TEXT(Table13[[#This Row],[Month]],"yyyy")</f>
        <v>2022</v>
      </c>
      <c r="C115" s="4">
        <v>9119.5499999999993</v>
      </c>
    </row>
    <row r="116" spans="1:3" x14ac:dyDescent="0.25">
      <c r="A116" s="3">
        <v>44743</v>
      </c>
      <c r="B116" s="2" t="str">
        <f>TEXT(Table13[[#This Row],[Month]],"yyyy")</f>
        <v>2022</v>
      </c>
      <c r="C116" s="4">
        <v>8366.39</v>
      </c>
    </row>
    <row r="117" spans="1:3" x14ac:dyDescent="0.25">
      <c r="A117" s="3">
        <v>44774</v>
      </c>
      <c r="B117" s="2" t="str">
        <f>TEXT(Table13[[#This Row],[Month]],"yyyy")</f>
        <v>2022</v>
      </c>
      <c r="C117" s="4">
        <v>7634.9</v>
      </c>
    </row>
    <row r="118" spans="1:3" x14ac:dyDescent="0.25">
      <c r="A118" s="3">
        <v>44805</v>
      </c>
      <c r="B118" s="2" t="str">
        <f>TEXT(Table13[[#This Row],[Month]],"yyyy")</f>
        <v>2022</v>
      </c>
      <c r="C118" s="4">
        <v>7079.45</v>
      </c>
    </row>
    <row r="119" spans="1:3" x14ac:dyDescent="0.25">
      <c r="A119" s="3">
        <v>44835</v>
      </c>
      <c r="B119" s="2" t="str">
        <f>TEXT(Table13[[#This Row],[Month]],"yyyy")</f>
        <v>2022</v>
      </c>
      <c r="C119" s="4">
        <v>7437.13</v>
      </c>
    </row>
    <row r="120" spans="1:3" x14ac:dyDescent="0.25">
      <c r="A120" s="3">
        <v>44866</v>
      </c>
      <c r="B120" s="2" t="str">
        <f>TEXT(Table13[[#This Row],[Month]],"yyyy")</f>
        <v>2022</v>
      </c>
      <c r="C120" s="4">
        <v>7150.11</v>
      </c>
    </row>
    <row r="121" spans="1:3" x14ac:dyDescent="0.25">
      <c r="A121" s="3">
        <v>44896</v>
      </c>
      <c r="B121" s="2" t="str">
        <f>TEXT(Table13[[#This Row],[Month]],"yyyy")</f>
        <v>2022</v>
      </c>
      <c r="C121" s="4">
        <v>6429.95</v>
      </c>
    </row>
    <row r="122" spans="1:3" x14ac:dyDescent="0.25">
      <c r="A122" s="3">
        <v>44927</v>
      </c>
      <c r="B122" s="2" t="str">
        <f>TEXT(Table13[[#This Row],[Month]],"yyyy")</f>
        <v>2023</v>
      </c>
      <c r="C122" s="4">
        <v>6584.69</v>
      </c>
    </row>
    <row r="123" spans="1:3" x14ac:dyDescent="0.25">
      <c r="A123" s="3">
        <v>44958</v>
      </c>
      <c r="B123" s="2" t="str">
        <f>TEXT(Table13[[#This Row],[Month]],"yyyy")</f>
        <v>2023</v>
      </c>
      <c r="C123" s="4">
        <v>6628.99</v>
      </c>
    </row>
    <row r="124" spans="1:3" x14ac:dyDescent="0.25">
      <c r="A124" s="3">
        <v>44986</v>
      </c>
      <c r="B124" s="2" t="str">
        <f>TEXT(Table13[[#This Row],[Month]],"yyyy")</f>
        <v>2023</v>
      </c>
      <c r="C124" s="4">
        <v>6292.9</v>
      </c>
    </row>
    <row r="125" spans="1:3" x14ac:dyDescent="0.25">
      <c r="A125" s="3">
        <v>45017</v>
      </c>
      <c r="B125" s="2" t="str">
        <f>TEXT(Table13[[#This Row],[Month]],"yyyy")</f>
        <v>2023</v>
      </c>
      <c r="C125" s="4">
        <v>6763.43</v>
      </c>
    </row>
    <row r="126" spans="1:3" x14ac:dyDescent="0.25">
      <c r="A126" s="3">
        <v>45047</v>
      </c>
      <c r="B126" s="2" t="str">
        <f>TEXT(Table13[[#This Row],[Month]],"yyyy")</f>
        <v>2023</v>
      </c>
      <c r="C126" s="4">
        <v>6102.52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EF62E0-DFAD-4536-96CC-40C84B41D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Communication</vt:lpstr>
      <vt:lpstr>Objective</vt:lpstr>
      <vt:lpstr>Obj 1</vt:lpstr>
      <vt:lpstr>Obj 2</vt:lpstr>
      <vt:lpstr>Obj 3</vt:lpstr>
      <vt:lpstr>Obj 4</vt:lpstr>
      <vt:lpstr>Obj 5</vt:lpstr>
      <vt:lpstr>Data Cleaning</vt:lpstr>
      <vt:lpstr>Main Data</vt:lpstr>
      <vt:lpstr>Raw Data</vt:lpstr>
      <vt:lpstr>Crude_oil_price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Singh</dc:creator>
  <cp:lastModifiedBy>Karan Singh</cp:lastModifiedBy>
  <dcterms:created xsi:type="dcterms:W3CDTF">2025-08-23T06:03:05Z</dcterms:created>
  <dcterms:modified xsi:type="dcterms:W3CDTF">2025-09-30T09:35:25Z</dcterms:modified>
</cp:coreProperties>
</file>